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uzh.sharepoint.com/sites/CFAInvestmentChallenge_ewexib/Shared Documents/General/Valuation Models/"/>
    </mc:Choice>
  </mc:AlternateContent>
  <xr:revisionPtr revIDLastSave="4" documentId="8_{169AADED-23B2-4E2C-94B8-BCFC3AD5C0F9}" xr6:coauthVersionLast="47" xr6:coauthVersionMax="47" xr10:uidLastSave="{6221C6DC-B79C-4FF3-8B91-CCE0399F3F4F}"/>
  <bookViews>
    <workbookView xWindow="-108" yWindow="-108" windowWidth="23256" windowHeight="12456" firstSheet="6" activeTab="6" xr2:uid="{AB38D9F3-E6B7-4B92-ACDA-C7CE79BFA89F}"/>
  </bookViews>
  <sheets>
    <sheet name="3-Statement Model" sheetId="1" r:id="rId1"/>
    <sheet name="DCF" sheetId="15" r:id="rId2"/>
    <sheet name="Assumptions" sheetId="2" r:id="rId3"/>
    <sheet name="WACC" sheetId="9" r:id="rId4"/>
    <sheet name="Terminal Growth Rate" sheetId="14" r:id="rId5"/>
    <sheet name="Asset Life" sheetId="16" r:id="rId6"/>
    <sheet name="Tables" sheetId="17" r:id="rId7"/>
    <sheet name="Supporting Analyses" sheetId="10" state="hidden" r:id="rId8"/>
  </sheets>
  <calcPr calcId="191028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0" l="1"/>
  <c r="D43" i="10"/>
  <c r="E43" i="10"/>
  <c r="F43" i="10"/>
  <c r="C44" i="10"/>
  <c r="D44" i="10"/>
  <c r="E44" i="10"/>
  <c r="F44" i="10"/>
  <c r="C45" i="10"/>
  <c r="D45" i="10"/>
  <c r="E45" i="10"/>
  <c r="F45" i="10"/>
  <c r="C46" i="10"/>
  <c r="D46" i="10"/>
  <c r="E46" i="10"/>
  <c r="F46" i="10"/>
  <c r="C47" i="10"/>
  <c r="D47" i="10"/>
  <c r="E47" i="10"/>
  <c r="F47" i="10"/>
  <c r="C48" i="10"/>
  <c r="D48" i="10"/>
  <c r="E48" i="10"/>
  <c r="F48" i="10"/>
  <c r="C49" i="10"/>
  <c r="D49" i="10"/>
  <c r="E49" i="10"/>
  <c r="F49" i="10"/>
  <c r="C50" i="10"/>
  <c r="D50" i="10"/>
  <c r="E50" i="10"/>
  <c r="F50" i="10"/>
  <c r="C52" i="10"/>
  <c r="D52" i="10"/>
  <c r="E52" i="10"/>
  <c r="F52" i="10"/>
  <c r="C53" i="10"/>
  <c r="D53" i="10"/>
  <c r="E53" i="10"/>
  <c r="F53" i="10"/>
  <c r="E261" i="17" l="1"/>
  <c r="E263" i="17"/>
  <c r="E264" i="17"/>
  <c r="E265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C108" i="15"/>
  <c r="C107" i="15"/>
  <c r="C109" i="15"/>
  <c r="C92" i="15"/>
  <c r="F100" i="2"/>
  <c r="G100" i="2"/>
  <c r="H100" i="2"/>
  <c r="I100" i="2"/>
  <c r="S100" i="2"/>
  <c r="S139" i="1" s="1"/>
  <c r="E100" i="2"/>
  <c r="K209" i="2"/>
  <c r="K100" i="2" s="1"/>
  <c r="K139" i="1" s="1"/>
  <c r="L209" i="2"/>
  <c r="L100" i="2" s="1"/>
  <c r="L139" i="1" s="1"/>
  <c r="M209" i="2"/>
  <c r="M100" i="2" s="1"/>
  <c r="M139" i="1" s="1"/>
  <c r="N209" i="2"/>
  <c r="N100" i="2" s="1"/>
  <c r="N139" i="1" s="1"/>
  <c r="O209" i="2"/>
  <c r="O100" i="2" s="1"/>
  <c r="O139" i="1" s="1"/>
  <c r="P209" i="2"/>
  <c r="P100" i="2" s="1"/>
  <c r="P139" i="1" s="1"/>
  <c r="Q209" i="2"/>
  <c r="Q100" i="2" s="1"/>
  <c r="Q139" i="1" s="1"/>
  <c r="R209" i="2"/>
  <c r="R100" i="2" s="1"/>
  <c r="R139" i="1" s="1"/>
  <c r="S209" i="2"/>
  <c r="J209" i="2"/>
  <c r="J100" i="2" s="1"/>
  <c r="J139" i="1" s="1"/>
  <c r="E19" i="2"/>
  <c r="F19" i="2"/>
  <c r="G19" i="2"/>
  <c r="H19" i="2"/>
  <c r="I19" i="2"/>
  <c r="J19" i="2"/>
  <c r="K19" i="2"/>
  <c r="L19" i="2"/>
  <c r="M19" i="2"/>
  <c r="N19" i="2"/>
  <c r="J211" i="2"/>
  <c r="K211" i="2" s="1"/>
  <c r="L211" i="2" s="1"/>
  <c r="M211" i="2" s="1"/>
  <c r="N211" i="2" s="1"/>
  <c r="O211" i="2" s="1"/>
  <c r="P211" i="2" s="1"/>
  <c r="Q211" i="2" s="1"/>
  <c r="R211" i="2" s="1"/>
  <c r="S211" i="2" s="1"/>
  <c r="D123" i="17"/>
  <c r="E123" i="17" s="1"/>
  <c r="F123" i="17" s="1"/>
  <c r="G123" i="17" s="1"/>
  <c r="H123" i="17" s="1"/>
  <c r="I123" i="17" s="1"/>
  <c r="J123" i="17" s="1"/>
  <c r="K123" i="17" s="1"/>
  <c r="L123" i="17" s="1"/>
  <c r="M123" i="17" s="1"/>
  <c r="N123" i="17" s="1"/>
  <c r="E230" i="17"/>
  <c r="F230" i="17" s="1"/>
  <c r="G230" i="17" s="1"/>
  <c r="H230" i="17" s="1"/>
  <c r="I230" i="17" s="1"/>
  <c r="J230" i="17" s="1"/>
  <c r="K230" i="17" s="1"/>
  <c r="L230" i="17" s="1"/>
  <c r="M230" i="17" s="1"/>
  <c r="N230" i="17" s="1"/>
  <c r="E91" i="17"/>
  <c r="F91" i="17" s="1"/>
  <c r="E146" i="17"/>
  <c r="F146" i="17" s="1"/>
  <c r="G146" i="17" s="1"/>
  <c r="H146" i="17" s="1"/>
  <c r="I146" i="17" s="1"/>
  <c r="J146" i="17" s="1"/>
  <c r="K146" i="17" s="1"/>
  <c r="L146" i="17" s="1"/>
  <c r="M146" i="17" s="1"/>
  <c r="N146" i="17" s="1"/>
  <c r="E178" i="17"/>
  <c r="F178" i="17" s="1"/>
  <c r="G178" i="17" s="1"/>
  <c r="H178" i="17" s="1"/>
  <c r="I178" i="17" s="1"/>
  <c r="J178" i="17" s="1"/>
  <c r="K178" i="17" s="1"/>
  <c r="L178" i="17" s="1"/>
  <c r="M178" i="17" s="1"/>
  <c r="N178" i="17" s="1"/>
  <c r="E206" i="17"/>
  <c r="F206" i="17" s="1"/>
  <c r="G206" i="17" s="1"/>
  <c r="H206" i="17" s="1"/>
  <c r="I206" i="17" s="1"/>
  <c r="J206" i="17" s="1"/>
  <c r="K206" i="17" s="1"/>
  <c r="L206" i="17" s="1"/>
  <c r="M206" i="17" s="1"/>
  <c r="N206" i="17" s="1"/>
  <c r="E194" i="17"/>
  <c r="F194" i="17" s="1"/>
  <c r="G194" i="17" s="1"/>
  <c r="H194" i="17" s="1"/>
  <c r="I194" i="17" s="1"/>
  <c r="J194" i="17" s="1"/>
  <c r="K194" i="17" s="1"/>
  <c r="L194" i="17" s="1"/>
  <c r="M194" i="17" s="1"/>
  <c r="N194" i="17" s="1"/>
  <c r="D132" i="17"/>
  <c r="D137" i="17"/>
  <c r="D142" i="17"/>
  <c r="D127" i="17"/>
  <c r="D62" i="17"/>
  <c r="D63" i="17"/>
  <c r="D64" i="17"/>
  <c r="D65" i="17"/>
  <c r="D67" i="17"/>
  <c r="D68" i="17"/>
  <c r="D69" i="17"/>
  <c r="D70" i="17"/>
  <c r="D73" i="17"/>
  <c r="D74" i="17"/>
  <c r="D75" i="17"/>
  <c r="D76" i="17"/>
  <c r="D78" i="17"/>
  <c r="D79" i="17"/>
  <c r="D80" i="17"/>
  <c r="D82" i="17"/>
  <c r="D83" i="17"/>
  <c r="D84" i="17"/>
  <c r="D85" i="17"/>
  <c r="C85" i="17"/>
  <c r="C83" i="17"/>
  <c r="C84" i="17"/>
  <c r="C82" i="17"/>
  <c r="C80" i="17"/>
  <c r="C79" i="17"/>
  <c r="C78" i="17"/>
  <c r="C74" i="17"/>
  <c r="C76" i="17"/>
  <c r="C75" i="17"/>
  <c r="C73" i="17"/>
  <c r="C70" i="17"/>
  <c r="C68" i="17"/>
  <c r="C69" i="17"/>
  <c r="C67" i="17"/>
  <c r="C65" i="17"/>
  <c r="C63" i="17"/>
  <c r="C64" i="17"/>
  <c r="C62" i="17"/>
  <c r="C61" i="17"/>
  <c r="D61" i="17" s="1"/>
  <c r="E61" i="17" s="1"/>
  <c r="F61" i="17" s="1"/>
  <c r="G61" i="17" s="1"/>
  <c r="H61" i="17" s="1"/>
  <c r="I61" i="17" s="1"/>
  <c r="J61" i="17" s="1"/>
  <c r="K61" i="17" s="1"/>
  <c r="L61" i="17" s="1"/>
  <c r="M61" i="17" s="1"/>
  <c r="N61" i="17" s="1"/>
  <c r="D47" i="17"/>
  <c r="D52" i="17"/>
  <c r="D54" i="17"/>
  <c r="D56" i="17"/>
  <c r="C56" i="17"/>
  <c r="C54" i="17"/>
  <c r="C52" i="17"/>
  <c r="C47" i="17"/>
  <c r="C45" i="17"/>
  <c r="D45" i="17" s="1"/>
  <c r="E45" i="17" s="1"/>
  <c r="F45" i="17" s="1"/>
  <c r="G45" i="17" s="1"/>
  <c r="H45" i="17" s="1"/>
  <c r="I45" i="17" s="1"/>
  <c r="J45" i="17" s="1"/>
  <c r="K45" i="17" s="1"/>
  <c r="L45" i="17" s="1"/>
  <c r="M45" i="17" s="1"/>
  <c r="N45" i="17" s="1"/>
  <c r="C37" i="17"/>
  <c r="D37" i="17" s="1"/>
  <c r="E37" i="17" s="1"/>
  <c r="F37" i="17" s="1"/>
  <c r="G37" i="17" s="1"/>
  <c r="H37" i="17" s="1"/>
  <c r="I37" i="17" s="1"/>
  <c r="J37" i="17" s="1"/>
  <c r="K37" i="17" s="1"/>
  <c r="L37" i="17" s="1"/>
  <c r="M37" i="17" s="1"/>
  <c r="N37" i="17" s="1"/>
  <c r="C30" i="17"/>
  <c r="D30" i="17" s="1"/>
  <c r="E30" i="17" s="1"/>
  <c r="F30" i="17" s="1"/>
  <c r="G30" i="17" s="1"/>
  <c r="H30" i="17" s="1"/>
  <c r="I30" i="17" s="1"/>
  <c r="J30" i="17" s="1"/>
  <c r="K30" i="17" s="1"/>
  <c r="L30" i="17" s="1"/>
  <c r="M30" i="17" s="1"/>
  <c r="N30" i="17" s="1"/>
  <c r="D26" i="17"/>
  <c r="C26" i="17"/>
  <c r="C5" i="17"/>
  <c r="D5" i="17" s="1"/>
  <c r="C20" i="17" l="1"/>
  <c r="C16" i="17"/>
  <c r="G91" i="17"/>
  <c r="H91" i="17" s="1"/>
  <c r="I91" i="17" s="1"/>
  <c r="J91" i="17" s="1"/>
  <c r="K91" i="17" s="1"/>
  <c r="L91" i="17" s="1"/>
  <c r="M91" i="17" s="1"/>
  <c r="N91" i="17" s="1"/>
  <c r="D20" i="17"/>
  <c r="D16" i="17"/>
  <c r="E5" i="17"/>
  <c r="F5" i="17" l="1"/>
  <c r="E20" i="17"/>
  <c r="E16" i="17"/>
  <c r="G5" i="17" l="1"/>
  <c r="F20" i="17"/>
  <c r="F16" i="17"/>
  <c r="H5" i="17" l="1"/>
  <c r="G20" i="17"/>
  <c r="G16" i="17"/>
  <c r="H16" i="17" l="1"/>
  <c r="H20" i="17"/>
  <c r="I5" i="17"/>
  <c r="M12" i="2"/>
  <c r="E5" i="14"/>
  <c r="D8" i="14"/>
  <c r="C140" i="15"/>
  <c r="C141" i="15" s="1"/>
  <c r="C138" i="15"/>
  <c r="C137" i="15" s="1"/>
  <c r="G136" i="15"/>
  <c r="H136" i="15" s="1"/>
  <c r="E136" i="15"/>
  <c r="D136" i="15" s="1"/>
  <c r="C130" i="15"/>
  <c r="C131" i="15" s="1"/>
  <c r="C128" i="15"/>
  <c r="C127" i="15" s="1"/>
  <c r="G126" i="15"/>
  <c r="H126" i="15" s="1"/>
  <c r="E126" i="15"/>
  <c r="D126" i="15" s="1"/>
  <c r="F5" i="2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F217" i="1"/>
  <c r="G217" i="1" s="1"/>
  <c r="H217" i="1" s="1"/>
  <c r="I217" i="1" s="1"/>
  <c r="F4" i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F193" i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F152" i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J107" i="2"/>
  <c r="K107" i="2"/>
  <c r="L107" i="2"/>
  <c r="M107" i="2"/>
  <c r="N107" i="2"/>
  <c r="O107" i="2"/>
  <c r="P107" i="2"/>
  <c r="Q107" i="2"/>
  <c r="R107" i="2"/>
  <c r="S107" i="2"/>
  <c r="J109" i="2"/>
  <c r="J334" i="1" s="1"/>
  <c r="E197" i="17" s="1"/>
  <c r="K109" i="2"/>
  <c r="K334" i="1" s="1"/>
  <c r="F197" i="17" s="1"/>
  <c r="L109" i="2"/>
  <c r="L334" i="1" s="1"/>
  <c r="G197" i="17" s="1"/>
  <c r="M109" i="2"/>
  <c r="M334" i="1" s="1"/>
  <c r="H197" i="17" s="1"/>
  <c r="N109" i="2"/>
  <c r="N334" i="1" s="1"/>
  <c r="I197" i="17" s="1"/>
  <c r="O109" i="2"/>
  <c r="O334" i="1" s="1"/>
  <c r="J197" i="17" s="1"/>
  <c r="P109" i="2"/>
  <c r="P334" i="1" s="1"/>
  <c r="K197" i="17" s="1"/>
  <c r="Q109" i="2"/>
  <c r="Q334" i="1" s="1"/>
  <c r="L197" i="17" s="1"/>
  <c r="R109" i="2"/>
  <c r="R334" i="1" s="1"/>
  <c r="M197" i="17" s="1"/>
  <c r="S109" i="2"/>
  <c r="S334" i="1" s="1"/>
  <c r="N197" i="17" s="1"/>
  <c r="J110" i="2"/>
  <c r="J335" i="1" s="1"/>
  <c r="E198" i="17" s="1"/>
  <c r="K110" i="2"/>
  <c r="K335" i="1" s="1"/>
  <c r="F198" i="17" s="1"/>
  <c r="L110" i="2"/>
  <c r="L335" i="1" s="1"/>
  <c r="G198" i="17" s="1"/>
  <c r="M110" i="2"/>
  <c r="M335" i="1" s="1"/>
  <c r="H198" i="17" s="1"/>
  <c r="N110" i="2"/>
  <c r="N335" i="1" s="1"/>
  <c r="I198" i="17" s="1"/>
  <c r="O110" i="2"/>
  <c r="O335" i="1" s="1"/>
  <c r="J198" i="17" s="1"/>
  <c r="P110" i="2"/>
  <c r="P335" i="1" s="1"/>
  <c r="K198" i="17" s="1"/>
  <c r="Q110" i="2"/>
  <c r="Q335" i="1" s="1"/>
  <c r="L198" i="17" s="1"/>
  <c r="R110" i="2"/>
  <c r="R335" i="1" s="1"/>
  <c r="M198" i="17" s="1"/>
  <c r="S110" i="2"/>
  <c r="S335" i="1" s="1"/>
  <c r="N198" i="17" s="1"/>
  <c r="J5" i="17" l="1"/>
  <c r="I20" i="17"/>
  <c r="I16" i="17"/>
  <c r="J20" i="17" l="1"/>
  <c r="J16" i="17"/>
  <c r="K5" i="17"/>
  <c r="L5" i="17" l="1"/>
  <c r="K20" i="17"/>
  <c r="K16" i="17"/>
  <c r="L20" i="17" l="1"/>
  <c r="M5" i="17"/>
  <c r="L16" i="17"/>
  <c r="M20" i="17" l="1"/>
  <c r="N5" i="17"/>
  <c r="M16" i="17"/>
  <c r="N20" i="17" l="1"/>
  <c r="N16" i="17"/>
  <c r="I76" i="2" l="1"/>
  <c r="H76" i="2"/>
  <c r="G76" i="2"/>
  <c r="F76" i="2"/>
  <c r="E76" i="2"/>
  <c r="I73" i="2"/>
  <c r="H73" i="2"/>
  <c r="G73" i="2"/>
  <c r="F73" i="2"/>
  <c r="E73" i="2"/>
  <c r="J71" i="2"/>
  <c r="J321" i="1" s="1"/>
  <c r="E186" i="17" s="1"/>
  <c r="I70" i="2"/>
  <c r="H70" i="2"/>
  <c r="G70" i="2"/>
  <c r="F70" i="2"/>
  <c r="E70" i="2"/>
  <c r="I67" i="2"/>
  <c r="H67" i="2"/>
  <c r="G67" i="2"/>
  <c r="F67" i="2"/>
  <c r="E67" i="2"/>
  <c r="K65" i="2"/>
  <c r="K315" i="1" s="1"/>
  <c r="F182" i="17" s="1"/>
  <c r="J65" i="2"/>
  <c r="J315" i="1" s="1"/>
  <c r="E182" i="17" s="1"/>
  <c r="I64" i="2"/>
  <c r="H64" i="2"/>
  <c r="G64" i="2"/>
  <c r="F64" i="2"/>
  <c r="E64" i="2"/>
  <c r="F61" i="2"/>
  <c r="G61" i="2"/>
  <c r="H61" i="2"/>
  <c r="I61" i="2"/>
  <c r="J62" i="2"/>
  <c r="J312" i="1" s="1"/>
  <c r="E180" i="17" s="1"/>
  <c r="K62" i="2"/>
  <c r="K312" i="1" s="1"/>
  <c r="F180" i="17" s="1"/>
  <c r="E61" i="2"/>
  <c r="E65" i="2"/>
  <c r="I21" i="1"/>
  <c r="E40" i="2"/>
  <c r="G150" i="2"/>
  <c r="G41" i="2" s="1"/>
  <c r="H150" i="2"/>
  <c r="H41" i="2" s="1"/>
  <c r="I150" i="2"/>
  <c r="I41" i="2" s="1"/>
  <c r="F150" i="2"/>
  <c r="J150" i="2" l="1"/>
  <c r="J149" i="2" s="1"/>
  <c r="K150" i="2"/>
  <c r="F41" i="2"/>
  <c r="P150" i="2"/>
  <c r="P41" i="2" s="1"/>
  <c r="K216" i="17" s="1"/>
  <c r="S150" i="2"/>
  <c r="S41" i="2" s="1"/>
  <c r="N216" i="17" s="1"/>
  <c r="Q150" i="2"/>
  <c r="Q41" i="2" s="1"/>
  <c r="L216" i="17" s="1"/>
  <c r="O150" i="2"/>
  <c r="O41" i="2" s="1"/>
  <c r="J216" i="17" s="1"/>
  <c r="N150" i="2"/>
  <c r="N41" i="2" s="1"/>
  <c r="I216" i="17" s="1"/>
  <c r="M150" i="2"/>
  <c r="M41" i="2" s="1"/>
  <c r="H216" i="17" s="1"/>
  <c r="L150" i="2"/>
  <c r="L41" i="2" s="1"/>
  <c r="G216" i="17" s="1"/>
  <c r="R150" i="2"/>
  <c r="R41" i="2" s="1"/>
  <c r="M216" i="17" s="1"/>
  <c r="J197" i="1"/>
  <c r="E124" i="17" s="1"/>
  <c r="J217" i="1"/>
  <c r="K217" i="1" s="1"/>
  <c r="L217" i="1" s="1"/>
  <c r="M217" i="1" s="1"/>
  <c r="N217" i="1" s="1"/>
  <c r="O217" i="1" s="1"/>
  <c r="P217" i="1" s="1"/>
  <c r="Q217" i="1" s="1"/>
  <c r="R217" i="1" s="1"/>
  <c r="S217" i="1" s="1"/>
  <c r="D227" i="1"/>
  <c r="D226" i="1"/>
  <c r="D225" i="1"/>
  <c r="D223" i="1"/>
  <c r="D222" i="1"/>
  <c r="D221" i="1"/>
  <c r="C36" i="16"/>
  <c r="C35" i="16"/>
  <c r="E27" i="16"/>
  <c r="F27" i="16" s="1"/>
  <c r="G27" i="16" s="1"/>
  <c r="H27" i="16" s="1"/>
  <c r="H33" i="16"/>
  <c r="G33" i="16"/>
  <c r="F33" i="16"/>
  <c r="E33" i="16"/>
  <c r="D33" i="16"/>
  <c r="H32" i="16"/>
  <c r="G32" i="16"/>
  <c r="F32" i="16"/>
  <c r="E32" i="16"/>
  <c r="D32" i="16"/>
  <c r="E15" i="16"/>
  <c r="F15" i="16" s="1"/>
  <c r="G15" i="16" s="1"/>
  <c r="H15" i="16" s="1"/>
  <c r="C24" i="16"/>
  <c r="C23" i="16"/>
  <c r="H21" i="16"/>
  <c r="G21" i="16"/>
  <c r="F21" i="16"/>
  <c r="E21" i="16"/>
  <c r="D21" i="16"/>
  <c r="H20" i="16"/>
  <c r="G20" i="16"/>
  <c r="F20" i="16"/>
  <c r="E20" i="16"/>
  <c r="D20" i="16"/>
  <c r="C12" i="16"/>
  <c r="C11" i="16"/>
  <c r="F3" i="16"/>
  <c r="G3" i="16" s="1"/>
  <c r="H3" i="16" s="1"/>
  <c r="E3" i="16"/>
  <c r="H9" i="16"/>
  <c r="G9" i="16"/>
  <c r="F9" i="16"/>
  <c r="E9" i="16"/>
  <c r="D9" i="16"/>
  <c r="H8" i="16"/>
  <c r="G8" i="16"/>
  <c r="F8" i="16"/>
  <c r="E8" i="16"/>
  <c r="D8" i="16"/>
  <c r="J41" i="2" l="1"/>
  <c r="E216" i="17" s="1"/>
  <c r="K41" i="2"/>
  <c r="F216" i="17" s="1"/>
  <c r="J243" i="1"/>
  <c r="E156" i="17" s="1"/>
  <c r="J242" i="1"/>
  <c r="E155" i="17" s="1"/>
  <c r="J244" i="1"/>
  <c r="E157" i="17" s="1"/>
  <c r="K243" i="1" l="1"/>
  <c r="F156" i="17" s="1"/>
  <c r="K242" i="1"/>
  <c r="F155" i="17" s="1"/>
  <c r="J245" i="1"/>
  <c r="E158" i="17" s="1"/>
  <c r="K244" i="1"/>
  <c r="F157" i="17" s="1"/>
  <c r="L243" i="1"/>
  <c r="G156" i="17" s="1"/>
  <c r="L242" i="1"/>
  <c r="G155" i="17" s="1"/>
  <c r="M243" i="1" l="1"/>
  <c r="H156" i="17" s="1"/>
  <c r="K245" i="1"/>
  <c r="F158" i="17" s="1"/>
  <c r="M242" i="1"/>
  <c r="L244" i="1"/>
  <c r="L245" i="1" l="1"/>
  <c r="G158" i="17" s="1"/>
  <c r="G157" i="17"/>
  <c r="N242" i="1"/>
  <c r="I155" i="17" s="1"/>
  <c r="H155" i="17"/>
  <c r="M244" i="1"/>
  <c r="M245" i="1" s="1"/>
  <c r="H158" i="17" s="1"/>
  <c r="N243" i="1"/>
  <c r="I156" i="17" s="1"/>
  <c r="N244" i="1" l="1"/>
  <c r="N245" i="1" s="1"/>
  <c r="I158" i="17" s="1"/>
  <c r="H157" i="17"/>
  <c r="O242" i="1"/>
  <c r="J155" i="17" s="1"/>
  <c r="O243" i="1"/>
  <c r="P242" i="1" l="1"/>
  <c r="J156" i="17"/>
  <c r="O244" i="1"/>
  <c r="I157" i="17"/>
  <c r="P243" i="1"/>
  <c r="K155" i="17" l="1"/>
  <c r="Q242" i="1"/>
  <c r="L155" i="17" s="1"/>
  <c r="J157" i="17"/>
  <c r="P244" i="1"/>
  <c r="P245" i="1" s="1"/>
  <c r="K158" i="17" s="1"/>
  <c r="K156" i="17"/>
  <c r="O245" i="1"/>
  <c r="J158" i="17" s="1"/>
  <c r="Q243" i="1"/>
  <c r="R242" i="1" l="1"/>
  <c r="R243" i="1"/>
  <c r="M156" i="17" s="1"/>
  <c r="L156" i="17"/>
  <c r="K157" i="17"/>
  <c r="Q244" i="1"/>
  <c r="S243" i="1" l="1"/>
  <c r="N156" i="17" s="1"/>
  <c r="S242" i="1"/>
  <c r="N155" i="17" s="1"/>
  <c r="M155" i="17"/>
  <c r="L157" i="17"/>
  <c r="R244" i="1"/>
  <c r="Q245" i="1"/>
  <c r="L158" i="17" s="1"/>
  <c r="M157" i="17" l="1"/>
  <c r="R245" i="1"/>
  <c r="M158" i="17" s="1"/>
  <c r="S244" i="1"/>
  <c r="G116" i="15"/>
  <c r="H116" i="15" s="1"/>
  <c r="E116" i="15"/>
  <c r="D116" i="15" s="1"/>
  <c r="J8" i="15"/>
  <c r="K8" i="15" s="1"/>
  <c r="C120" i="15"/>
  <c r="C121" i="15" s="1"/>
  <c r="C118" i="15"/>
  <c r="C117" i="15" s="1"/>
  <c r="N58" i="15"/>
  <c r="M58" i="15"/>
  <c r="L58" i="15"/>
  <c r="K58" i="15"/>
  <c r="K62" i="15" s="1"/>
  <c r="J58" i="15"/>
  <c r="J62" i="15" s="1"/>
  <c r="I58" i="15"/>
  <c r="I62" i="15" s="1"/>
  <c r="H58" i="15"/>
  <c r="H62" i="15" s="1"/>
  <c r="G58" i="15"/>
  <c r="G62" i="15" s="1"/>
  <c r="F58" i="15"/>
  <c r="F62" i="15" s="1"/>
  <c r="E58" i="15"/>
  <c r="E62" i="15" s="1"/>
  <c r="F57" i="15"/>
  <c r="G57" i="15" s="1"/>
  <c r="H57" i="15" s="1"/>
  <c r="I57" i="15" s="1"/>
  <c r="J57" i="15" s="1"/>
  <c r="K57" i="15" s="1"/>
  <c r="L57" i="15" s="1"/>
  <c r="M57" i="15" s="1"/>
  <c r="N57" i="15" s="1"/>
  <c r="D48" i="15"/>
  <c r="F2" i="15"/>
  <c r="G2" i="15" s="1"/>
  <c r="H2" i="15" s="1"/>
  <c r="I2" i="15" s="1"/>
  <c r="J2" i="15" s="1"/>
  <c r="K2" i="15" s="1"/>
  <c r="L2" i="15" s="1"/>
  <c r="M2" i="15" s="1"/>
  <c r="N2" i="15" s="1"/>
  <c r="O132" i="2"/>
  <c r="P132" i="2" s="1"/>
  <c r="O131" i="2"/>
  <c r="P131" i="2" s="1"/>
  <c r="Q131" i="2" s="1"/>
  <c r="R131" i="2" s="1"/>
  <c r="S131" i="2" s="1"/>
  <c r="O130" i="2"/>
  <c r="P130" i="2" s="1"/>
  <c r="Q130" i="2" s="1"/>
  <c r="O129" i="2"/>
  <c r="O128" i="2"/>
  <c r="O19" i="2" s="1"/>
  <c r="N157" i="17" l="1"/>
  <c r="S245" i="1"/>
  <c r="N158" i="17" s="1"/>
  <c r="P128" i="2"/>
  <c r="P19" i="2" s="1"/>
  <c r="L8" i="15"/>
  <c r="M62" i="15"/>
  <c r="L62" i="15"/>
  <c r="N62" i="15"/>
  <c r="Q132" i="2"/>
  <c r="R132" i="2" s="1"/>
  <c r="S132" i="2" s="1"/>
  <c r="P129" i="2"/>
  <c r="Q129" i="2" s="1"/>
  <c r="R129" i="2" s="1"/>
  <c r="S129" i="2" s="1"/>
  <c r="R130" i="2"/>
  <c r="Q128" i="2" l="1"/>
  <c r="Q19" i="2" s="1"/>
  <c r="M8" i="15"/>
  <c r="S130" i="2"/>
  <c r="R128" i="2" l="1"/>
  <c r="R19" i="2" s="1"/>
  <c r="N8" i="15"/>
  <c r="S128" i="2" l="1"/>
  <c r="S19" i="2" s="1"/>
  <c r="L23" i="10"/>
  <c r="E7" i="14" l="1"/>
  <c r="E6" i="14"/>
  <c r="D11" i="14"/>
  <c r="F14" i="9" l="1"/>
  <c r="K190" i="2" l="1"/>
  <c r="L190" i="2" s="1"/>
  <c r="M190" i="2" s="1"/>
  <c r="N190" i="2" s="1"/>
  <c r="O190" i="2" s="1"/>
  <c r="P190" i="2" s="1"/>
  <c r="Q190" i="2" s="1"/>
  <c r="R190" i="2" s="1"/>
  <c r="S190" i="2" s="1"/>
  <c r="D20" i="10"/>
  <c r="E20" i="10"/>
  <c r="F20" i="10"/>
  <c r="G20" i="10"/>
  <c r="H20" i="10"/>
  <c r="I20" i="10"/>
  <c r="J20" i="10"/>
  <c r="K20" i="10"/>
  <c r="L20" i="10"/>
  <c r="C20" i="10"/>
  <c r="L16" i="10"/>
  <c r="L17" i="10" s="1"/>
  <c r="K16" i="10"/>
  <c r="K17" i="10" s="1"/>
  <c r="J16" i="10"/>
  <c r="J17" i="10" s="1"/>
  <c r="I16" i="10"/>
  <c r="I17" i="10" s="1"/>
  <c r="H16" i="10"/>
  <c r="H17" i="10" s="1"/>
  <c r="G16" i="10"/>
  <c r="G17" i="10" s="1"/>
  <c r="F16" i="10"/>
  <c r="F17" i="10" s="1"/>
  <c r="E16" i="10"/>
  <c r="E17" i="10" s="1"/>
  <c r="D16" i="10"/>
  <c r="D17" i="10" s="1"/>
  <c r="C16" i="10"/>
  <c r="C17" i="10" s="1"/>
  <c r="L14" i="10"/>
  <c r="K14" i="10"/>
  <c r="J14" i="10"/>
  <c r="I14" i="10"/>
  <c r="H14" i="10"/>
  <c r="G14" i="10"/>
  <c r="F14" i="10"/>
  <c r="E14" i="10"/>
  <c r="D14" i="10"/>
  <c r="C14" i="10"/>
  <c r="L11" i="10"/>
  <c r="K11" i="10"/>
  <c r="J11" i="10"/>
  <c r="I11" i="10"/>
  <c r="H11" i="10"/>
  <c r="G11" i="10"/>
  <c r="F11" i="10"/>
  <c r="E11" i="10"/>
  <c r="D11" i="10"/>
  <c r="C11" i="10"/>
  <c r="L8" i="10"/>
  <c r="K8" i="10"/>
  <c r="J8" i="10"/>
  <c r="I8" i="10"/>
  <c r="H8" i="10"/>
  <c r="G8" i="10"/>
  <c r="F8" i="10"/>
  <c r="E8" i="10"/>
  <c r="D8" i="10"/>
  <c r="C8" i="10"/>
  <c r="L4" i="10"/>
  <c r="K4" i="10"/>
  <c r="J4" i="10"/>
  <c r="I4" i="10"/>
  <c r="H4" i="10"/>
  <c r="G4" i="10"/>
  <c r="F4" i="10"/>
  <c r="E4" i="10"/>
  <c r="D4" i="10"/>
  <c r="C4" i="10"/>
  <c r="C2" i="10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D21" i="9"/>
  <c r="D22" i="9" s="1"/>
  <c r="D7" i="9" s="1"/>
  <c r="D4" i="9" l="1"/>
  <c r="C4" i="9" s="1"/>
  <c r="D5" i="9"/>
  <c r="D6" i="9"/>
  <c r="E14" i="9"/>
  <c r="E16" i="9" s="1"/>
  <c r="E19" i="9" s="1"/>
  <c r="D18" i="9"/>
  <c r="C22" i="9"/>
  <c r="C7" i="9" s="1"/>
  <c r="E22" i="9"/>
  <c r="E7" i="9" s="1"/>
  <c r="E8" i="9" s="1"/>
  <c r="E9" i="9" s="1"/>
  <c r="E12" i="9" s="1"/>
  <c r="D8" i="9" l="1"/>
  <c r="D14" i="9"/>
  <c r="D16" i="9" s="1"/>
  <c r="E23" i="9"/>
  <c r="D9" i="9"/>
  <c r="D12" i="9" s="1"/>
  <c r="C14" i="9"/>
  <c r="C16" i="9" s="1"/>
  <c r="C18" i="9"/>
  <c r="C8" i="9" s="1"/>
  <c r="C9" i="9" s="1"/>
  <c r="C12" i="9" s="1"/>
  <c r="D19" i="9" l="1"/>
  <c r="D23" i="9" s="1"/>
  <c r="D51" i="15" s="1"/>
  <c r="K221" i="2"/>
  <c r="K112" i="2" s="1"/>
  <c r="K340" i="1" s="1"/>
  <c r="F201" i="17" s="1"/>
  <c r="M221" i="2"/>
  <c r="M112" i="2" s="1"/>
  <c r="M340" i="1" s="1"/>
  <c r="H201" i="17" s="1"/>
  <c r="O221" i="2"/>
  <c r="O112" i="2" s="1"/>
  <c r="O340" i="1" s="1"/>
  <c r="J201" i="17" s="1"/>
  <c r="P221" i="2"/>
  <c r="P112" i="2" s="1"/>
  <c r="P340" i="1" s="1"/>
  <c r="K201" i="17" s="1"/>
  <c r="J221" i="2"/>
  <c r="J112" i="2" s="1"/>
  <c r="J340" i="1" s="1"/>
  <c r="L221" i="2"/>
  <c r="L112" i="2" s="1"/>
  <c r="L340" i="1" s="1"/>
  <c r="G201" i="17" s="1"/>
  <c r="N221" i="2"/>
  <c r="N112" i="2" s="1"/>
  <c r="N340" i="1" s="1"/>
  <c r="I201" i="17" s="1"/>
  <c r="R221" i="2"/>
  <c r="R112" i="2" s="1"/>
  <c r="R340" i="1" s="1"/>
  <c r="M201" i="17" s="1"/>
  <c r="S221" i="2"/>
  <c r="S112" i="2" s="1"/>
  <c r="S340" i="1" s="1"/>
  <c r="N201" i="17" s="1"/>
  <c r="Q221" i="2"/>
  <c r="Q112" i="2" s="1"/>
  <c r="Q340" i="1" s="1"/>
  <c r="L201" i="17" s="1"/>
  <c r="C19" i="9"/>
  <c r="C23" i="9" s="1"/>
  <c r="K166" i="2"/>
  <c r="L166" i="2" s="1"/>
  <c r="M166" i="2" s="1"/>
  <c r="N166" i="2" s="1"/>
  <c r="O166" i="2" s="1"/>
  <c r="P166" i="2" s="1"/>
  <c r="Q166" i="2" s="1"/>
  <c r="R166" i="2" s="1"/>
  <c r="S166" i="2" s="1"/>
  <c r="K155" i="2"/>
  <c r="L155" i="2"/>
  <c r="M155" i="2"/>
  <c r="N155" i="2"/>
  <c r="O155" i="2"/>
  <c r="P155" i="2"/>
  <c r="Q155" i="2"/>
  <c r="R155" i="2"/>
  <c r="S155" i="2"/>
  <c r="J155" i="2"/>
  <c r="F156" i="2"/>
  <c r="F47" i="2" s="1"/>
  <c r="G156" i="2"/>
  <c r="G47" i="2" s="1"/>
  <c r="H156" i="2"/>
  <c r="H47" i="2" s="1"/>
  <c r="I156" i="2"/>
  <c r="I47" i="2" s="1"/>
  <c r="E156" i="2"/>
  <c r="E47" i="2" s="1"/>
  <c r="K153" i="2"/>
  <c r="L153" i="2"/>
  <c r="M153" i="2"/>
  <c r="N153" i="2"/>
  <c r="O153" i="2"/>
  <c r="P153" i="2"/>
  <c r="Q153" i="2"/>
  <c r="R153" i="2"/>
  <c r="S153" i="2"/>
  <c r="J153" i="2"/>
  <c r="K152" i="2"/>
  <c r="L152" i="2"/>
  <c r="M152" i="2"/>
  <c r="N152" i="2"/>
  <c r="O152" i="2"/>
  <c r="P152" i="2"/>
  <c r="Q152" i="2"/>
  <c r="R152" i="2"/>
  <c r="S152" i="2"/>
  <c r="J152" i="2"/>
  <c r="E201" i="17" l="1"/>
  <c r="J341" i="1"/>
  <c r="S87" i="2"/>
  <c r="N220" i="17" s="1"/>
  <c r="R87" i="2"/>
  <c r="M220" i="17" s="1"/>
  <c r="Q87" i="2"/>
  <c r="L220" i="17" s="1"/>
  <c r="P87" i="2"/>
  <c r="K220" i="17" s="1"/>
  <c r="O87" i="2"/>
  <c r="J220" i="17" s="1"/>
  <c r="N87" i="2"/>
  <c r="I220" i="17" s="1"/>
  <c r="M87" i="2"/>
  <c r="H220" i="17" s="1"/>
  <c r="L87" i="2"/>
  <c r="G220" i="17" s="1"/>
  <c r="K87" i="2"/>
  <c r="F220" i="17" s="1"/>
  <c r="J87" i="2"/>
  <c r="E220" i="17" s="1"/>
  <c r="I86" i="2"/>
  <c r="H86" i="2"/>
  <c r="G86" i="2"/>
  <c r="F86" i="2"/>
  <c r="E86" i="2"/>
  <c r="E56" i="2"/>
  <c r="I56" i="2"/>
  <c r="H56" i="2"/>
  <c r="G56" i="2"/>
  <c r="F56" i="2"/>
  <c r="E82" i="2"/>
  <c r="F82" i="2"/>
  <c r="G82" i="2"/>
  <c r="H82" i="2"/>
  <c r="I82" i="2"/>
  <c r="F80" i="2"/>
  <c r="G80" i="2"/>
  <c r="H80" i="2"/>
  <c r="I80" i="2"/>
  <c r="E80" i="2"/>
  <c r="K159" i="2"/>
  <c r="L159" i="2"/>
  <c r="M159" i="2"/>
  <c r="N159" i="2"/>
  <c r="O159" i="2"/>
  <c r="P159" i="2"/>
  <c r="Q159" i="2"/>
  <c r="R159" i="2"/>
  <c r="S159" i="2"/>
  <c r="J159" i="2"/>
  <c r="J212" i="1"/>
  <c r="E139" i="17" s="1"/>
  <c r="J207" i="1"/>
  <c r="E134" i="17" s="1"/>
  <c r="J202" i="1"/>
  <c r="E129" i="17" s="1"/>
  <c r="J34" i="2"/>
  <c r="E224" i="17" s="1"/>
  <c r="K34" i="2"/>
  <c r="F224" i="17" s="1"/>
  <c r="L34" i="2"/>
  <c r="G224" i="17" s="1"/>
  <c r="M34" i="2"/>
  <c r="H224" i="17" s="1"/>
  <c r="N34" i="2"/>
  <c r="I224" i="17" s="1"/>
  <c r="O34" i="2"/>
  <c r="J224" i="17" s="1"/>
  <c r="P34" i="2"/>
  <c r="K224" i="17" s="1"/>
  <c r="Q34" i="2"/>
  <c r="L224" i="17" s="1"/>
  <c r="R34" i="2"/>
  <c r="M224" i="17" s="1"/>
  <c r="S34" i="2"/>
  <c r="N224" i="17" s="1"/>
  <c r="J36" i="2"/>
  <c r="E226" i="17" s="1"/>
  <c r="K36" i="2"/>
  <c r="F226" i="17" s="1"/>
  <c r="L36" i="2"/>
  <c r="G226" i="17" s="1"/>
  <c r="M36" i="2"/>
  <c r="H226" i="17" s="1"/>
  <c r="N36" i="2"/>
  <c r="I226" i="17" s="1"/>
  <c r="O36" i="2"/>
  <c r="J226" i="17" s="1"/>
  <c r="P36" i="2"/>
  <c r="K226" i="17" s="1"/>
  <c r="Q36" i="2"/>
  <c r="L226" i="17" s="1"/>
  <c r="R36" i="2"/>
  <c r="M226" i="17" s="1"/>
  <c r="S36" i="2"/>
  <c r="N226" i="17" s="1"/>
  <c r="E28" i="2"/>
  <c r="F28" i="2"/>
  <c r="G28" i="2"/>
  <c r="H28" i="2"/>
  <c r="I28" i="2"/>
  <c r="E30" i="2"/>
  <c r="F30" i="2"/>
  <c r="G30" i="2"/>
  <c r="H30" i="2"/>
  <c r="I30" i="2"/>
  <c r="I26" i="2"/>
  <c r="H26" i="2"/>
  <c r="G26" i="2"/>
  <c r="F26" i="2"/>
  <c r="E26" i="2"/>
  <c r="L21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F195" i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J12" i="2"/>
  <c r="S10" i="2"/>
  <c r="S9" i="1" s="1"/>
  <c r="N207" i="17" s="1"/>
  <c r="S11" i="2"/>
  <c r="S13" i="1" s="1"/>
  <c r="N208" i="17" s="1"/>
  <c r="S12" i="2"/>
  <c r="S17" i="1" s="1"/>
  <c r="N209" i="17" s="1"/>
  <c r="O13" i="2"/>
  <c r="O21" i="1" s="1"/>
  <c r="P13" i="2"/>
  <c r="P21" i="1" s="1"/>
  <c r="Q13" i="2"/>
  <c r="Q21" i="1" s="1"/>
  <c r="R13" i="2"/>
  <c r="R21" i="1" s="1"/>
  <c r="S13" i="2"/>
  <c r="S21" i="1" s="1"/>
  <c r="O16" i="2"/>
  <c r="O30" i="1" s="1"/>
  <c r="J210" i="17" s="1"/>
  <c r="P16" i="2"/>
  <c r="P30" i="1" s="1"/>
  <c r="K210" i="17" s="1"/>
  <c r="Q16" i="2"/>
  <c r="Q30" i="1" s="1"/>
  <c r="L210" i="17" s="1"/>
  <c r="R16" i="2"/>
  <c r="R30" i="1" s="1"/>
  <c r="M210" i="17" s="1"/>
  <c r="S16" i="2"/>
  <c r="S30" i="1" s="1"/>
  <c r="N210" i="17" s="1"/>
  <c r="O38" i="1"/>
  <c r="P38" i="1"/>
  <c r="Q38" i="1"/>
  <c r="R38" i="1"/>
  <c r="S38" i="1"/>
  <c r="O20" i="2"/>
  <c r="O41" i="1" s="1"/>
  <c r="J212" i="17" s="1"/>
  <c r="P20" i="2"/>
  <c r="P41" i="1" s="1"/>
  <c r="K212" i="17" s="1"/>
  <c r="Q20" i="2"/>
  <c r="Q41" i="1" s="1"/>
  <c r="L212" i="17" s="1"/>
  <c r="R20" i="2"/>
  <c r="R41" i="1" s="1"/>
  <c r="M212" i="17" s="1"/>
  <c r="S20" i="2"/>
  <c r="S41" i="1" s="1"/>
  <c r="N212" i="17" s="1"/>
  <c r="O21" i="2"/>
  <c r="O44" i="1" s="1"/>
  <c r="J213" i="17" s="1"/>
  <c r="P21" i="2"/>
  <c r="P44" i="1" s="1"/>
  <c r="K213" i="17" s="1"/>
  <c r="Q21" i="2"/>
  <c r="Q44" i="1" s="1"/>
  <c r="L213" i="17" s="1"/>
  <c r="R21" i="2"/>
  <c r="R44" i="1" s="1"/>
  <c r="M213" i="17" s="1"/>
  <c r="S21" i="2"/>
  <c r="S44" i="1" s="1"/>
  <c r="N213" i="17" s="1"/>
  <c r="O22" i="2"/>
  <c r="O47" i="1" s="1"/>
  <c r="J214" i="17" s="1"/>
  <c r="P22" i="2"/>
  <c r="P47" i="1" s="1"/>
  <c r="K214" i="17" s="1"/>
  <c r="Q22" i="2"/>
  <c r="Q47" i="1" s="1"/>
  <c r="L214" i="17" s="1"/>
  <c r="R22" i="2"/>
  <c r="R47" i="1" s="1"/>
  <c r="M214" i="17" s="1"/>
  <c r="S22" i="2"/>
  <c r="S47" i="1" s="1"/>
  <c r="N214" i="17" s="1"/>
  <c r="O23" i="2"/>
  <c r="O50" i="1" s="1"/>
  <c r="J215" i="17" s="1"/>
  <c r="P23" i="2"/>
  <c r="P50" i="1" s="1"/>
  <c r="K215" i="17" s="1"/>
  <c r="Q23" i="2"/>
  <c r="Q50" i="1" s="1"/>
  <c r="L215" i="17" s="1"/>
  <c r="R23" i="2"/>
  <c r="R50" i="1" s="1"/>
  <c r="M215" i="17" s="1"/>
  <c r="S23" i="2"/>
  <c r="S50" i="1" s="1"/>
  <c r="N215" i="17" s="1"/>
  <c r="O43" i="2"/>
  <c r="O83" i="1" s="1"/>
  <c r="P43" i="2"/>
  <c r="P83" i="1" s="1"/>
  <c r="Q43" i="2"/>
  <c r="Q83" i="1" s="1"/>
  <c r="R43" i="2"/>
  <c r="R83" i="1" s="1"/>
  <c r="S43" i="2"/>
  <c r="S83" i="1" s="1"/>
  <c r="O44" i="2"/>
  <c r="O86" i="1" s="1"/>
  <c r="P44" i="2"/>
  <c r="P86" i="1" s="1"/>
  <c r="Q44" i="2"/>
  <c r="Q86" i="1" s="1"/>
  <c r="R44" i="2"/>
  <c r="R86" i="1" s="1"/>
  <c r="S44" i="2"/>
  <c r="S86" i="1" s="1"/>
  <c r="O199" i="2"/>
  <c r="O90" i="2" s="1"/>
  <c r="O115" i="1" s="1"/>
  <c r="P199" i="2"/>
  <c r="P90" i="2" s="1"/>
  <c r="P115" i="1" s="1"/>
  <c r="Q199" i="2"/>
  <c r="Q90" i="2" s="1"/>
  <c r="Q115" i="1" s="1"/>
  <c r="R199" i="2"/>
  <c r="R90" i="2" s="1"/>
  <c r="R115" i="1" s="1"/>
  <c r="S199" i="2"/>
  <c r="S90" i="2" s="1"/>
  <c r="S115" i="1" s="1"/>
  <c r="O200" i="2"/>
  <c r="O91" i="2" s="1"/>
  <c r="O116" i="1" s="1"/>
  <c r="P200" i="2"/>
  <c r="P91" i="2" s="1"/>
  <c r="P116" i="1" s="1"/>
  <c r="Q200" i="2"/>
  <c r="Q91" i="2" s="1"/>
  <c r="Q116" i="1" s="1"/>
  <c r="R200" i="2"/>
  <c r="R91" i="2" s="1"/>
  <c r="R116" i="1" s="1"/>
  <c r="S200" i="2"/>
  <c r="S91" i="2" s="1"/>
  <c r="S116" i="1" s="1"/>
  <c r="O202" i="2"/>
  <c r="O93" i="2" s="1"/>
  <c r="O121" i="1" s="1"/>
  <c r="J69" i="17" s="1"/>
  <c r="P202" i="2"/>
  <c r="P93" i="2" s="1"/>
  <c r="P121" i="1" s="1"/>
  <c r="K69" i="17" s="1"/>
  <c r="Q202" i="2"/>
  <c r="Q93" i="2" s="1"/>
  <c r="Q121" i="1" s="1"/>
  <c r="L69" i="17" s="1"/>
  <c r="R202" i="2"/>
  <c r="R93" i="2" s="1"/>
  <c r="R121" i="1" s="1"/>
  <c r="M69" i="17" s="1"/>
  <c r="S202" i="2"/>
  <c r="S93" i="2" s="1"/>
  <c r="S121" i="1" s="1"/>
  <c r="N69" i="17" s="1"/>
  <c r="O203" i="2"/>
  <c r="O94" i="2" s="1"/>
  <c r="O122" i="1" s="1"/>
  <c r="P203" i="2"/>
  <c r="P94" i="2" s="1"/>
  <c r="P122" i="1" s="1"/>
  <c r="Q203" i="2"/>
  <c r="Q94" i="2" s="1"/>
  <c r="Q122" i="1" s="1"/>
  <c r="R203" i="2"/>
  <c r="R94" i="2" s="1"/>
  <c r="R122" i="1" s="1"/>
  <c r="S203" i="2"/>
  <c r="O204" i="2"/>
  <c r="O95" i="2" s="1"/>
  <c r="O123" i="1" s="1"/>
  <c r="P204" i="2"/>
  <c r="P95" i="2" s="1"/>
  <c r="P123" i="1" s="1"/>
  <c r="Q204" i="2"/>
  <c r="Q95" i="2" s="1"/>
  <c r="Q123" i="1" s="1"/>
  <c r="R204" i="2"/>
  <c r="R95" i="2" s="1"/>
  <c r="R123" i="1" s="1"/>
  <c r="S204" i="2"/>
  <c r="S95" i="2" s="1"/>
  <c r="S123" i="1" s="1"/>
  <c r="O206" i="2"/>
  <c r="O97" i="2" s="1"/>
  <c r="O130" i="1" s="1"/>
  <c r="P206" i="2"/>
  <c r="P97" i="2" s="1"/>
  <c r="P130" i="1" s="1"/>
  <c r="Q206" i="2"/>
  <c r="Q97" i="2" s="1"/>
  <c r="Q130" i="1" s="1"/>
  <c r="R206" i="2"/>
  <c r="R97" i="2" s="1"/>
  <c r="R130" i="1" s="1"/>
  <c r="S206" i="2"/>
  <c r="S97" i="2" s="1"/>
  <c r="S130" i="1" s="1"/>
  <c r="O207" i="2"/>
  <c r="O98" i="2" s="1"/>
  <c r="O131" i="1" s="1"/>
  <c r="P207" i="2"/>
  <c r="P98" i="2" s="1"/>
  <c r="P131" i="1" s="1"/>
  <c r="Q207" i="2"/>
  <c r="Q98" i="2" s="1"/>
  <c r="Q131" i="1" s="1"/>
  <c r="R207" i="2"/>
  <c r="R98" i="2" s="1"/>
  <c r="R131" i="1" s="1"/>
  <c r="S207" i="2"/>
  <c r="S98" i="2" s="1"/>
  <c r="S131" i="1" s="1"/>
  <c r="O208" i="2"/>
  <c r="O99" i="2" s="1"/>
  <c r="O133" i="1" s="1"/>
  <c r="J76" i="17" s="1"/>
  <c r="P208" i="2"/>
  <c r="P99" i="2" s="1"/>
  <c r="P133" i="1" s="1"/>
  <c r="K76" i="17" s="1"/>
  <c r="Q208" i="2"/>
  <c r="Q99" i="2" s="1"/>
  <c r="Q133" i="1" s="1"/>
  <c r="L76" i="17" s="1"/>
  <c r="R208" i="2"/>
  <c r="R99" i="2" s="1"/>
  <c r="R133" i="1" s="1"/>
  <c r="M76" i="17" s="1"/>
  <c r="S208" i="2"/>
  <c r="S99" i="2" s="1"/>
  <c r="S133" i="1" s="1"/>
  <c r="N76" i="17" s="1"/>
  <c r="O210" i="2"/>
  <c r="O101" i="2" s="1"/>
  <c r="O137" i="1" s="1"/>
  <c r="P210" i="2"/>
  <c r="P101" i="2" s="1"/>
  <c r="P137" i="1" s="1"/>
  <c r="Q210" i="2"/>
  <c r="Q101" i="2" s="1"/>
  <c r="Q137" i="1" s="1"/>
  <c r="R210" i="2"/>
  <c r="R101" i="2" s="1"/>
  <c r="R137" i="1" s="1"/>
  <c r="S210" i="2"/>
  <c r="S101" i="2" s="1"/>
  <c r="S137" i="1" s="1"/>
  <c r="O213" i="2"/>
  <c r="O104" i="2" s="1"/>
  <c r="O140" i="1" s="1"/>
  <c r="P213" i="2"/>
  <c r="P104" i="2" s="1"/>
  <c r="P140" i="1" s="1"/>
  <c r="Q213" i="2"/>
  <c r="Q104" i="2" s="1"/>
  <c r="Q140" i="1" s="1"/>
  <c r="R213" i="2"/>
  <c r="R104" i="2" s="1"/>
  <c r="R140" i="1" s="1"/>
  <c r="S213" i="2"/>
  <c r="S104" i="2" s="1"/>
  <c r="S140" i="1" s="1"/>
  <c r="O223" i="2"/>
  <c r="O114" i="2" s="1"/>
  <c r="O143" i="1" s="1"/>
  <c r="J82" i="17" s="1"/>
  <c r="P223" i="2"/>
  <c r="P114" i="2" s="1"/>
  <c r="P143" i="1" s="1"/>
  <c r="K82" i="17" s="1"/>
  <c r="Q223" i="2"/>
  <c r="Q114" i="2" s="1"/>
  <c r="Q143" i="1" s="1"/>
  <c r="L82" i="17" s="1"/>
  <c r="R223" i="2"/>
  <c r="R114" i="2" s="1"/>
  <c r="R143" i="1" s="1"/>
  <c r="M82" i="17" s="1"/>
  <c r="S223" i="2"/>
  <c r="S114" i="2" s="1"/>
  <c r="S143" i="1" s="1"/>
  <c r="N82" i="17" s="1"/>
  <c r="F178" i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F170" i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E43" i="2"/>
  <c r="F43" i="2"/>
  <c r="G43" i="2"/>
  <c r="H43" i="2"/>
  <c r="I43" i="2"/>
  <c r="J43" i="2"/>
  <c r="J83" i="1" s="1"/>
  <c r="K43" i="2"/>
  <c r="K83" i="1" s="1"/>
  <c r="L43" i="2"/>
  <c r="L83" i="1" s="1"/>
  <c r="M43" i="2"/>
  <c r="M83" i="1" s="1"/>
  <c r="N43" i="2"/>
  <c r="N83" i="1" s="1"/>
  <c r="E44" i="2"/>
  <c r="F44" i="2"/>
  <c r="G44" i="2"/>
  <c r="H44" i="2"/>
  <c r="I44" i="2"/>
  <c r="J44" i="2"/>
  <c r="J86" i="1" s="1"/>
  <c r="K44" i="2"/>
  <c r="K86" i="1" s="1"/>
  <c r="L44" i="2"/>
  <c r="L86" i="1" s="1"/>
  <c r="M44" i="2"/>
  <c r="M86" i="1" s="1"/>
  <c r="N44" i="2"/>
  <c r="N86" i="1" s="1"/>
  <c r="E46" i="2"/>
  <c r="F46" i="2"/>
  <c r="G46" i="2"/>
  <c r="H46" i="2"/>
  <c r="I46" i="2"/>
  <c r="N46" i="2"/>
  <c r="N89" i="1" s="1"/>
  <c r="F40" i="2"/>
  <c r="G40" i="2"/>
  <c r="H40" i="2"/>
  <c r="I40" i="2"/>
  <c r="F329" i="1"/>
  <c r="G329" i="1" s="1"/>
  <c r="H329" i="1" s="1"/>
  <c r="I329" i="1" s="1"/>
  <c r="J329" i="1" s="1"/>
  <c r="K329" i="1" s="1"/>
  <c r="L329" i="1" s="1"/>
  <c r="M329" i="1" s="1"/>
  <c r="N329" i="1" s="1"/>
  <c r="O329" i="1" s="1"/>
  <c r="P329" i="1" s="1"/>
  <c r="Q329" i="1" s="1"/>
  <c r="R329" i="1" s="1"/>
  <c r="S329" i="1" s="1"/>
  <c r="F154" i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F114" i="2"/>
  <c r="G114" i="2"/>
  <c r="H114" i="2"/>
  <c r="I114" i="2"/>
  <c r="E114" i="2"/>
  <c r="K223" i="2"/>
  <c r="K114" i="2" s="1"/>
  <c r="K143" i="1" s="1"/>
  <c r="F82" i="17" s="1"/>
  <c r="L223" i="2"/>
  <c r="L114" i="2" s="1"/>
  <c r="L143" i="1" s="1"/>
  <c r="G82" i="17" s="1"/>
  <c r="M223" i="2"/>
  <c r="M114" i="2" s="1"/>
  <c r="M143" i="1" s="1"/>
  <c r="H82" i="17" s="1"/>
  <c r="N223" i="2"/>
  <c r="N114" i="2" s="1"/>
  <c r="N143" i="1" s="1"/>
  <c r="I82" i="17" s="1"/>
  <c r="J223" i="2"/>
  <c r="J114" i="2" s="1"/>
  <c r="J143" i="1" s="1"/>
  <c r="I104" i="2"/>
  <c r="H104" i="2"/>
  <c r="G104" i="2"/>
  <c r="F104" i="2"/>
  <c r="E104" i="2"/>
  <c r="I102" i="2"/>
  <c r="H102" i="2"/>
  <c r="G102" i="2"/>
  <c r="F102" i="2"/>
  <c r="E102" i="2"/>
  <c r="I101" i="2"/>
  <c r="H101" i="2"/>
  <c r="G101" i="2"/>
  <c r="F101" i="2"/>
  <c r="E101" i="2"/>
  <c r="I99" i="2"/>
  <c r="H99" i="2"/>
  <c r="G99" i="2"/>
  <c r="F99" i="2"/>
  <c r="E99" i="2"/>
  <c r="I98" i="2"/>
  <c r="H98" i="2"/>
  <c r="G98" i="2"/>
  <c r="F98" i="2"/>
  <c r="E98" i="2"/>
  <c r="I97" i="2"/>
  <c r="H97" i="2"/>
  <c r="G97" i="2"/>
  <c r="F97" i="2"/>
  <c r="E97" i="2"/>
  <c r="I95" i="2"/>
  <c r="H95" i="2"/>
  <c r="G95" i="2"/>
  <c r="F95" i="2"/>
  <c r="E95" i="2"/>
  <c r="I94" i="2"/>
  <c r="H94" i="2"/>
  <c r="G94" i="2"/>
  <c r="F94" i="2"/>
  <c r="E94" i="2"/>
  <c r="I93" i="2"/>
  <c r="H93" i="2"/>
  <c r="G93" i="2"/>
  <c r="F93" i="2"/>
  <c r="E93" i="2"/>
  <c r="I91" i="2"/>
  <c r="H91" i="2"/>
  <c r="G91" i="2"/>
  <c r="F91" i="2"/>
  <c r="E91" i="2"/>
  <c r="I90" i="2"/>
  <c r="H90" i="2"/>
  <c r="G90" i="2"/>
  <c r="F90" i="2"/>
  <c r="E90" i="2"/>
  <c r="K210" i="2"/>
  <c r="K101" i="2" s="1"/>
  <c r="K137" i="1" s="1"/>
  <c r="L210" i="2"/>
  <c r="L101" i="2" s="1"/>
  <c r="L137" i="1" s="1"/>
  <c r="M210" i="2"/>
  <c r="M101" i="2" s="1"/>
  <c r="M137" i="1" s="1"/>
  <c r="N210" i="2"/>
  <c r="N101" i="2" s="1"/>
  <c r="N137" i="1" s="1"/>
  <c r="K213" i="2"/>
  <c r="K104" i="2" s="1"/>
  <c r="K140" i="1" s="1"/>
  <c r="L213" i="2"/>
  <c r="L104" i="2" s="1"/>
  <c r="L140" i="1" s="1"/>
  <c r="M213" i="2"/>
  <c r="M104" i="2" s="1"/>
  <c r="M140" i="1" s="1"/>
  <c r="N213" i="2"/>
  <c r="N104" i="2" s="1"/>
  <c r="N140" i="1" s="1"/>
  <c r="J213" i="2"/>
  <c r="J104" i="2" s="1"/>
  <c r="J140" i="1" s="1"/>
  <c r="J182" i="1" s="1"/>
  <c r="E112" i="17" s="1"/>
  <c r="J210" i="2"/>
  <c r="J101" i="2" s="1"/>
  <c r="J137" i="1" s="1"/>
  <c r="K206" i="2"/>
  <c r="K97" i="2" s="1"/>
  <c r="K130" i="1" s="1"/>
  <c r="L206" i="2"/>
  <c r="L97" i="2" s="1"/>
  <c r="L130" i="1" s="1"/>
  <c r="M206" i="2"/>
  <c r="M97" i="2" s="1"/>
  <c r="M130" i="1" s="1"/>
  <c r="N206" i="2"/>
  <c r="N97" i="2" s="1"/>
  <c r="N130" i="1" s="1"/>
  <c r="K207" i="2"/>
  <c r="K98" i="2" s="1"/>
  <c r="K131" i="1" s="1"/>
  <c r="H50" i="10" s="1"/>
  <c r="L207" i="2"/>
  <c r="L98" i="2" s="1"/>
  <c r="L131" i="1" s="1"/>
  <c r="I50" i="10" s="1"/>
  <c r="M207" i="2"/>
  <c r="M98" i="2" s="1"/>
  <c r="M131" i="1" s="1"/>
  <c r="J50" i="10" s="1"/>
  <c r="N207" i="2"/>
  <c r="N98" i="2" s="1"/>
  <c r="N131" i="1" s="1"/>
  <c r="K50" i="10" s="1"/>
  <c r="K208" i="2"/>
  <c r="K99" i="2" s="1"/>
  <c r="K133" i="1" s="1"/>
  <c r="F76" i="17" s="1"/>
  <c r="L208" i="2"/>
  <c r="L99" i="2" s="1"/>
  <c r="L133" i="1" s="1"/>
  <c r="G76" i="17" s="1"/>
  <c r="M208" i="2"/>
  <c r="M99" i="2" s="1"/>
  <c r="M133" i="1" s="1"/>
  <c r="H76" i="17" s="1"/>
  <c r="N208" i="2"/>
  <c r="N99" i="2" s="1"/>
  <c r="N133" i="1" s="1"/>
  <c r="I76" i="17" s="1"/>
  <c r="J208" i="2"/>
  <c r="J99" i="2" s="1"/>
  <c r="J133" i="1" s="1"/>
  <c r="E76" i="17" s="1"/>
  <c r="J207" i="2"/>
  <c r="J98" i="2" s="1"/>
  <c r="J131" i="1" s="1"/>
  <c r="G50" i="10" s="1"/>
  <c r="J206" i="2"/>
  <c r="J97" i="2" s="1"/>
  <c r="J130" i="1" s="1"/>
  <c r="F107" i="1"/>
  <c r="F309" i="1"/>
  <c r="G309" i="1" s="1"/>
  <c r="H309" i="1" s="1"/>
  <c r="I309" i="1" s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K202" i="2"/>
  <c r="K93" i="2" s="1"/>
  <c r="K121" i="1" s="1"/>
  <c r="F69" i="17" s="1"/>
  <c r="L202" i="2"/>
  <c r="L93" i="2" s="1"/>
  <c r="L121" i="1" s="1"/>
  <c r="G69" i="17" s="1"/>
  <c r="M202" i="2"/>
  <c r="M93" i="2" s="1"/>
  <c r="M121" i="1" s="1"/>
  <c r="H69" i="17" s="1"/>
  <c r="N202" i="2"/>
  <c r="N93" i="2" s="1"/>
  <c r="N121" i="1" s="1"/>
  <c r="I69" i="17" s="1"/>
  <c r="K203" i="2"/>
  <c r="K94" i="2" s="1"/>
  <c r="K122" i="1" s="1"/>
  <c r="L203" i="2"/>
  <c r="L94" i="2" s="1"/>
  <c r="L122" i="1" s="1"/>
  <c r="M203" i="2"/>
  <c r="M94" i="2" s="1"/>
  <c r="M122" i="1" s="1"/>
  <c r="N203" i="2"/>
  <c r="N94" i="2" s="1"/>
  <c r="N122" i="1" s="1"/>
  <c r="K204" i="2"/>
  <c r="K95" i="2" s="1"/>
  <c r="K123" i="1" s="1"/>
  <c r="L204" i="2"/>
  <c r="L95" i="2" s="1"/>
  <c r="L123" i="1" s="1"/>
  <c r="M204" i="2"/>
  <c r="M95" i="2" s="1"/>
  <c r="M123" i="1" s="1"/>
  <c r="N204" i="2"/>
  <c r="N95" i="2" s="1"/>
  <c r="N123" i="1" s="1"/>
  <c r="J204" i="2"/>
  <c r="J95" i="2" s="1"/>
  <c r="J123" i="1" s="1"/>
  <c r="J203" i="2"/>
  <c r="J94" i="2" s="1"/>
  <c r="J122" i="1" s="1"/>
  <c r="J202" i="2"/>
  <c r="J93" i="2" s="1"/>
  <c r="J121" i="1" s="1"/>
  <c r="E69" i="17" s="1"/>
  <c r="K199" i="2"/>
  <c r="K90" i="2" s="1"/>
  <c r="K115" i="1" s="1"/>
  <c r="L199" i="2"/>
  <c r="L90" i="2" s="1"/>
  <c r="L115" i="1" s="1"/>
  <c r="J47" i="10" s="1"/>
  <c r="M199" i="2"/>
  <c r="M90" i="2" s="1"/>
  <c r="M115" i="1" s="1"/>
  <c r="K47" i="10" s="1"/>
  <c r="N199" i="2"/>
  <c r="N90" i="2" s="1"/>
  <c r="N115" i="1" s="1"/>
  <c r="L47" i="10" s="1"/>
  <c r="K200" i="2"/>
  <c r="K91" i="2" s="1"/>
  <c r="K116" i="1" s="1"/>
  <c r="L200" i="2"/>
  <c r="L91" i="2" s="1"/>
  <c r="L116" i="1" s="1"/>
  <c r="M200" i="2"/>
  <c r="M91" i="2" s="1"/>
  <c r="M116" i="1" s="1"/>
  <c r="N200" i="2"/>
  <c r="N91" i="2" s="1"/>
  <c r="N116" i="1" s="1"/>
  <c r="J200" i="2"/>
  <c r="J91" i="2" s="1"/>
  <c r="J116" i="1" s="1"/>
  <c r="J199" i="2"/>
  <c r="J90" i="2" s="1"/>
  <c r="J115" i="1" s="1"/>
  <c r="K10" i="2"/>
  <c r="K9" i="1" s="1"/>
  <c r="F207" i="17" s="1"/>
  <c r="L10" i="2"/>
  <c r="L9" i="1" s="1"/>
  <c r="G207" i="17" s="1"/>
  <c r="I60" i="1"/>
  <c r="H60" i="1"/>
  <c r="G60" i="1"/>
  <c r="G66" i="1" s="1"/>
  <c r="D42" i="10" s="1"/>
  <c r="F60" i="1"/>
  <c r="F66" i="1" s="1"/>
  <c r="C42" i="10" s="1"/>
  <c r="E60" i="1"/>
  <c r="E66" i="1" s="1"/>
  <c r="F58" i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I52" i="1"/>
  <c r="D49" i="17" s="1"/>
  <c r="H52" i="1"/>
  <c r="C49" i="17" s="1"/>
  <c r="G52" i="1"/>
  <c r="F52" i="1"/>
  <c r="E52" i="1"/>
  <c r="E124" i="1"/>
  <c r="I47" i="10" l="1"/>
  <c r="G47" i="10"/>
  <c r="H47" i="10"/>
  <c r="M47" i="10"/>
  <c r="M50" i="10"/>
  <c r="L50" i="10"/>
  <c r="I70" i="17"/>
  <c r="S70" i="1"/>
  <c r="N218" i="17"/>
  <c r="Q70" i="1"/>
  <c r="L218" i="17"/>
  <c r="O70" i="1"/>
  <c r="J218" i="17"/>
  <c r="N70" i="1"/>
  <c r="I218" i="17"/>
  <c r="M70" i="1"/>
  <c r="H218" i="17"/>
  <c r="P70" i="1"/>
  <c r="K218" i="17"/>
  <c r="L70" i="1"/>
  <c r="G218" i="17"/>
  <c r="K70" i="1"/>
  <c r="F218" i="17"/>
  <c r="J70" i="1"/>
  <c r="E218" i="17"/>
  <c r="R70" i="1"/>
  <c r="M218" i="17"/>
  <c r="E70" i="17"/>
  <c r="F180" i="2"/>
  <c r="F174" i="2"/>
  <c r="F65" i="2" s="1"/>
  <c r="J211" i="17"/>
  <c r="N211" i="17"/>
  <c r="M211" i="17"/>
  <c r="J70" i="17"/>
  <c r="L211" i="17"/>
  <c r="K211" i="17"/>
  <c r="J77" i="1"/>
  <c r="E202" i="17"/>
  <c r="M70" i="17"/>
  <c r="I75" i="17"/>
  <c r="H70" i="17"/>
  <c r="G70" i="17"/>
  <c r="F70" i="17"/>
  <c r="J75" i="17"/>
  <c r="F75" i="17"/>
  <c r="M75" i="17"/>
  <c r="L75" i="17"/>
  <c r="K75" i="17"/>
  <c r="G75" i="17"/>
  <c r="J181" i="1"/>
  <c r="E111" i="17" s="1"/>
  <c r="E75" i="17"/>
  <c r="J186" i="1"/>
  <c r="E116" i="17" s="1"/>
  <c r="E82" i="17"/>
  <c r="H66" i="1"/>
  <c r="E42" i="10" s="1"/>
  <c r="C51" i="17"/>
  <c r="L70" i="17"/>
  <c r="N75" i="17"/>
  <c r="H75" i="17"/>
  <c r="I66" i="1"/>
  <c r="F42" i="10" s="1"/>
  <c r="D51" i="17"/>
  <c r="K70" i="17"/>
  <c r="O164" i="1"/>
  <c r="P164" i="1"/>
  <c r="S167" i="1"/>
  <c r="L167" i="1"/>
  <c r="R164" i="1"/>
  <c r="R167" i="1"/>
  <c r="M103" i="17" s="1"/>
  <c r="P167" i="1"/>
  <c r="M164" i="1"/>
  <c r="H100" i="17" s="1"/>
  <c r="L164" i="1"/>
  <c r="G100" i="17" s="1"/>
  <c r="M167" i="1"/>
  <c r="H103" i="17" s="1"/>
  <c r="O167" i="1"/>
  <c r="J103" i="17" s="1"/>
  <c r="N164" i="1"/>
  <c r="I100" i="17" s="1"/>
  <c r="N167" i="1"/>
  <c r="I103" i="17" s="1"/>
  <c r="S164" i="1"/>
  <c r="N100" i="17" s="1"/>
  <c r="K167" i="1"/>
  <c r="F103" i="17" s="1"/>
  <c r="Q164" i="1"/>
  <c r="L100" i="17" s="1"/>
  <c r="J167" i="1"/>
  <c r="E103" i="17" s="1"/>
  <c r="K164" i="1"/>
  <c r="F100" i="17" s="1"/>
  <c r="J164" i="1"/>
  <c r="E100" i="17" s="1"/>
  <c r="Q167" i="1"/>
  <c r="L103" i="17" s="1"/>
  <c r="G107" i="1"/>
  <c r="I24" i="10"/>
  <c r="N156" i="2"/>
  <c r="N47" i="2" s="1"/>
  <c r="R46" i="2"/>
  <c r="R89" i="1" s="1"/>
  <c r="R156" i="2"/>
  <c r="R47" i="2" s="1"/>
  <c r="S94" i="2"/>
  <c r="S122" i="1" s="1"/>
  <c r="N70" i="17" s="1"/>
  <c r="L46" i="2"/>
  <c r="L89" i="1" s="1"/>
  <c r="L156" i="2"/>
  <c r="L47" i="2" s="1"/>
  <c r="P46" i="2"/>
  <c r="P89" i="1" s="1"/>
  <c r="P156" i="2"/>
  <c r="P47" i="2" s="1"/>
  <c r="O46" i="2"/>
  <c r="O89" i="1" s="1"/>
  <c r="O156" i="2"/>
  <c r="O47" i="2" s="1"/>
  <c r="K46" i="2"/>
  <c r="K89" i="1" s="1"/>
  <c r="K156" i="2"/>
  <c r="K47" i="2" s="1"/>
  <c r="M46" i="2"/>
  <c r="M89" i="1" s="1"/>
  <c r="M156" i="2"/>
  <c r="M47" i="2" s="1"/>
  <c r="J46" i="2"/>
  <c r="J89" i="1" s="1"/>
  <c r="J156" i="2"/>
  <c r="J47" i="2" s="1"/>
  <c r="Q46" i="2"/>
  <c r="Q89" i="1" s="1"/>
  <c r="Q156" i="2"/>
  <c r="Q47" i="2" s="1"/>
  <c r="S46" i="2"/>
  <c r="S89" i="1" s="1"/>
  <c r="S156" i="2"/>
  <c r="S47" i="2" s="1"/>
  <c r="S186" i="1"/>
  <c r="N116" i="17" s="1"/>
  <c r="M186" i="1"/>
  <c r="H116" i="17" s="1"/>
  <c r="P186" i="1"/>
  <c r="K116" i="17" s="1"/>
  <c r="P181" i="1"/>
  <c r="K111" i="17" s="1"/>
  <c r="S182" i="1"/>
  <c r="N112" i="17" s="1"/>
  <c r="Q181" i="1"/>
  <c r="L111" i="17" s="1"/>
  <c r="P182" i="1"/>
  <c r="K112" i="17" s="1"/>
  <c r="R181" i="1"/>
  <c r="M111" i="17" s="1"/>
  <c r="N182" i="1"/>
  <c r="I112" i="17" s="1"/>
  <c r="Q186" i="1"/>
  <c r="L116" i="17" s="1"/>
  <c r="R182" i="1"/>
  <c r="M112" i="17" s="1"/>
  <c r="R186" i="1"/>
  <c r="M116" i="17" s="1"/>
  <c r="N186" i="1"/>
  <c r="I116" i="17" s="1"/>
  <c r="Q182" i="1"/>
  <c r="L112" i="17" s="1"/>
  <c r="O182" i="1"/>
  <c r="J112" i="17" s="1"/>
  <c r="S181" i="1"/>
  <c r="N111" i="17" s="1"/>
  <c r="N181" i="1"/>
  <c r="I111" i="17" s="1"/>
  <c r="O181" i="1"/>
  <c r="J111" i="17" s="1"/>
  <c r="O186" i="1"/>
  <c r="J116" i="17" s="1"/>
  <c r="M181" i="1"/>
  <c r="H111" i="17" s="1"/>
  <c r="M182" i="1"/>
  <c r="H112" i="17" s="1"/>
  <c r="L181" i="1"/>
  <c r="G111" i="17" s="1"/>
  <c r="L182" i="1"/>
  <c r="G112" i="17" s="1"/>
  <c r="K186" i="1"/>
  <c r="F116" i="17" s="1"/>
  <c r="K181" i="1"/>
  <c r="F111" i="17" s="1"/>
  <c r="L186" i="1"/>
  <c r="G116" i="17" s="1"/>
  <c r="K182" i="1"/>
  <c r="F112" i="17" s="1"/>
  <c r="I146" i="1"/>
  <c r="I141" i="1"/>
  <c r="D81" i="17" s="1"/>
  <c r="I134" i="1"/>
  <c r="I124" i="1"/>
  <c r="D71" i="17" s="1"/>
  <c r="I117" i="1"/>
  <c r="H117" i="1"/>
  <c r="G146" i="1"/>
  <c r="H146" i="1"/>
  <c r="G141" i="1"/>
  <c r="H141" i="1"/>
  <c r="C81" i="17" s="1"/>
  <c r="G134" i="1"/>
  <c r="H134" i="1"/>
  <c r="G124" i="1"/>
  <c r="H124" i="1"/>
  <c r="C71" i="17" s="1"/>
  <c r="G117" i="1"/>
  <c r="F141" i="1"/>
  <c r="E141" i="1"/>
  <c r="F134" i="1"/>
  <c r="E134" i="1"/>
  <c r="F124" i="1"/>
  <c r="F146" i="1"/>
  <c r="E146" i="1"/>
  <c r="E148" i="1" s="1"/>
  <c r="F117" i="1"/>
  <c r="E117" i="1"/>
  <c r="F109" i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J38" i="1"/>
  <c r="K38" i="1"/>
  <c r="L38" i="1"/>
  <c r="M38" i="1"/>
  <c r="N38" i="1"/>
  <c r="J20" i="2"/>
  <c r="J41" i="1" s="1"/>
  <c r="E212" i="17" s="1"/>
  <c r="K20" i="2"/>
  <c r="K41" i="1" s="1"/>
  <c r="F212" i="17" s="1"/>
  <c r="L20" i="2"/>
  <c r="L41" i="1" s="1"/>
  <c r="G212" i="17" s="1"/>
  <c r="M20" i="2"/>
  <c r="M41" i="1" s="1"/>
  <c r="H212" i="17" s="1"/>
  <c r="N20" i="2"/>
  <c r="N41" i="1" s="1"/>
  <c r="I212" i="17" s="1"/>
  <c r="J21" i="2"/>
  <c r="J44" i="1" s="1"/>
  <c r="E213" i="17" s="1"/>
  <c r="K21" i="2"/>
  <c r="K44" i="1" s="1"/>
  <c r="F213" i="17" s="1"/>
  <c r="L44" i="1"/>
  <c r="G213" i="17" s="1"/>
  <c r="M21" i="2"/>
  <c r="M44" i="1" s="1"/>
  <c r="H213" i="17" s="1"/>
  <c r="N21" i="2"/>
  <c r="N44" i="1" s="1"/>
  <c r="I213" i="17" s="1"/>
  <c r="J22" i="2"/>
  <c r="J47" i="1" s="1"/>
  <c r="E214" i="17" s="1"/>
  <c r="K22" i="2"/>
  <c r="K47" i="1" s="1"/>
  <c r="F214" i="17" s="1"/>
  <c r="L22" i="2"/>
  <c r="L47" i="1" s="1"/>
  <c r="G214" i="17" s="1"/>
  <c r="M22" i="2"/>
  <c r="M47" i="1" s="1"/>
  <c r="H214" i="17" s="1"/>
  <c r="N22" i="2"/>
  <c r="N47" i="1" s="1"/>
  <c r="I214" i="17" s="1"/>
  <c r="J23" i="2"/>
  <c r="J50" i="1" s="1"/>
  <c r="E215" i="17" s="1"/>
  <c r="K23" i="2"/>
  <c r="K50" i="1" s="1"/>
  <c r="F215" i="17" s="1"/>
  <c r="L23" i="2"/>
  <c r="L50" i="1" s="1"/>
  <c r="G215" i="17" s="1"/>
  <c r="M23" i="2"/>
  <c r="M50" i="1" s="1"/>
  <c r="H215" i="17" s="1"/>
  <c r="N23" i="2"/>
  <c r="N50" i="1" s="1"/>
  <c r="I215" i="17" s="1"/>
  <c r="J16" i="2"/>
  <c r="J30" i="1" s="1"/>
  <c r="E210" i="17" s="1"/>
  <c r="K16" i="2"/>
  <c r="K30" i="1" s="1"/>
  <c r="F210" i="17" s="1"/>
  <c r="L16" i="2"/>
  <c r="L30" i="1" s="1"/>
  <c r="G210" i="17" s="1"/>
  <c r="M16" i="2"/>
  <c r="M30" i="1" s="1"/>
  <c r="H210" i="17" s="1"/>
  <c r="N16" i="2"/>
  <c r="N30" i="1" s="1"/>
  <c r="I210" i="17" s="1"/>
  <c r="J11" i="2"/>
  <c r="J13" i="1" s="1"/>
  <c r="K11" i="2"/>
  <c r="K13" i="1" s="1"/>
  <c r="F208" i="17" s="1"/>
  <c r="L11" i="2"/>
  <c r="L13" i="1" s="1"/>
  <c r="G208" i="17" s="1"/>
  <c r="M11" i="2"/>
  <c r="M13" i="1" s="1"/>
  <c r="H208" i="17" s="1"/>
  <c r="N11" i="2"/>
  <c r="N13" i="1" s="1"/>
  <c r="I208" i="17" s="1"/>
  <c r="J17" i="1"/>
  <c r="K12" i="2"/>
  <c r="K17" i="1" s="1"/>
  <c r="F209" i="17" s="1"/>
  <c r="L12" i="2"/>
  <c r="L17" i="1" s="1"/>
  <c r="G209" i="17" s="1"/>
  <c r="M17" i="1"/>
  <c r="H209" i="17" s="1"/>
  <c r="N12" i="2"/>
  <c r="N17" i="1" s="1"/>
  <c r="I209" i="17" s="1"/>
  <c r="J13" i="2"/>
  <c r="J21" i="1" s="1"/>
  <c r="J20" i="1" s="1"/>
  <c r="K13" i="2"/>
  <c r="K21" i="1" s="1"/>
  <c r="L13" i="2"/>
  <c r="L21" i="1" s="1"/>
  <c r="M13" i="2"/>
  <c r="M21" i="1" s="1"/>
  <c r="N13" i="2"/>
  <c r="N21" i="1" s="1"/>
  <c r="N10" i="2"/>
  <c r="N9" i="1" s="1"/>
  <c r="I207" i="17" s="1"/>
  <c r="M10" i="2"/>
  <c r="M9" i="1" s="1"/>
  <c r="H207" i="17" s="1"/>
  <c r="J10" i="2"/>
  <c r="J9" i="1" s="1"/>
  <c r="F116" i="2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F75" i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F35" i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F6" i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E25" i="1"/>
  <c r="I24" i="1"/>
  <c r="H24" i="1"/>
  <c r="G24" i="1"/>
  <c r="F24" i="1"/>
  <c r="E24" i="1"/>
  <c r="I13" i="2"/>
  <c r="H21" i="1"/>
  <c r="H13" i="2" s="1"/>
  <c r="G21" i="1"/>
  <c r="G13" i="2" s="1"/>
  <c r="F21" i="1"/>
  <c r="F13" i="2" s="1"/>
  <c r="E21" i="1"/>
  <c r="E13" i="2" s="1"/>
  <c r="I17" i="1"/>
  <c r="I12" i="2" s="1"/>
  <c r="H17" i="1"/>
  <c r="H12" i="2" s="1"/>
  <c r="G17" i="1"/>
  <c r="G12" i="2" s="1"/>
  <c r="F17" i="1"/>
  <c r="F12" i="2" s="1"/>
  <c r="E17" i="1"/>
  <c r="E12" i="2" s="1"/>
  <c r="I13" i="1"/>
  <c r="I11" i="2" s="1"/>
  <c r="H13" i="1"/>
  <c r="H11" i="2" s="1"/>
  <c r="G13" i="1"/>
  <c r="G11" i="2" s="1"/>
  <c r="F13" i="1"/>
  <c r="F11" i="2" s="1"/>
  <c r="E13" i="1"/>
  <c r="E11" i="2" s="1"/>
  <c r="I9" i="1"/>
  <c r="I10" i="2" s="1"/>
  <c r="H9" i="1"/>
  <c r="H10" i="2" s="1"/>
  <c r="G9" i="1"/>
  <c r="G10" i="2" s="1"/>
  <c r="F9" i="1"/>
  <c r="F10" i="2" s="1"/>
  <c r="E9" i="1"/>
  <c r="E10" i="2" s="1"/>
  <c r="I183" i="2" l="1"/>
  <c r="I177" i="2"/>
  <c r="I186" i="2"/>
  <c r="I211" i="17"/>
  <c r="G180" i="2"/>
  <c r="G71" i="2" s="1"/>
  <c r="G174" i="2"/>
  <c r="H183" i="2"/>
  <c r="H74" i="2" s="1"/>
  <c r="H186" i="2"/>
  <c r="H77" i="2" s="1"/>
  <c r="H177" i="2"/>
  <c r="H68" i="2" s="1"/>
  <c r="H211" i="17"/>
  <c r="G211" i="17"/>
  <c r="F211" i="17"/>
  <c r="F183" i="2"/>
  <c r="F74" i="2" s="1"/>
  <c r="F171" i="2"/>
  <c r="F62" i="2" s="1"/>
  <c r="F177" i="2"/>
  <c r="F68" i="2" s="1"/>
  <c r="F186" i="2"/>
  <c r="F77" i="2" s="1"/>
  <c r="E211" i="17"/>
  <c r="G171" i="2"/>
  <c r="G177" i="2"/>
  <c r="G183" i="2"/>
  <c r="G186" i="2"/>
  <c r="G77" i="2" s="1"/>
  <c r="J16" i="1"/>
  <c r="E209" i="17"/>
  <c r="J8" i="1"/>
  <c r="E207" i="17"/>
  <c r="J12" i="1"/>
  <c r="E208" i="17"/>
  <c r="K31" i="15"/>
  <c r="K103" i="17"/>
  <c r="N31" i="15"/>
  <c r="N103" i="17"/>
  <c r="C46" i="17"/>
  <c r="C28" i="17"/>
  <c r="C27" i="17"/>
  <c r="D46" i="17"/>
  <c r="D27" i="17"/>
  <c r="D28" i="17"/>
  <c r="K28" i="15"/>
  <c r="K100" i="17"/>
  <c r="C66" i="17"/>
  <c r="C18" i="17"/>
  <c r="C17" i="17"/>
  <c r="J28" i="15"/>
  <c r="J100" i="17"/>
  <c r="D77" i="17"/>
  <c r="G65" i="2"/>
  <c r="G31" i="15"/>
  <c r="G103" i="17"/>
  <c r="D18" i="17"/>
  <c r="D17" i="17"/>
  <c r="D66" i="17"/>
  <c r="M28" i="15"/>
  <c r="M100" i="17"/>
  <c r="C77" i="17"/>
  <c r="J144" i="2"/>
  <c r="F71" i="2"/>
  <c r="E77" i="2"/>
  <c r="E71" i="2"/>
  <c r="E74" i="2"/>
  <c r="E68" i="2"/>
  <c r="E62" i="2"/>
  <c r="G74" i="2"/>
  <c r="G62" i="2"/>
  <c r="G68" i="2"/>
  <c r="L31" i="15"/>
  <c r="G28" i="15"/>
  <c r="J31" i="15"/>
  <c r="H31" i="15"/>
  <c r="E28" i="15"/>
  <c r="F28" i="15"/>
  <c r="H28" i="15"/>
  <c r="L28" i="15"/>
  <c r="N28" i="15"/>
  <c r="I31" i="15"/>
  <c r="E31" i="15"/>
  <c r="F31" i="15"/>
  <c r="M31" i="15"/>
  <c r="I28" i="15"/>
  <c r="O121" i="2"/>
  <c r="P121" i="2" s="1"/>
  <c r="O119" i="2"/>
  <c r="O120" i="2"/>
  <c r="H148" i="1"/>
  <c r="G148" i="1"/>
  <c r="G150" i="1" s="1"/>
  <c r="H107" i="1"/>
  <c r="J24" i="10"/>
  <c r="F148" i="1"/>
  <c r="F150" i="1" s="1"/>
  <c r="C33" i="10"/>
  <c r="I25" i="10"/>
  <c r="D33" i="10"/>
  <c r="J25" i="10"/>
  <c r="E33" i="10"/>
  <c r="I148" i="1"/>
  <c r="D31" i="17" s="1"/>
  <c r="F33" i="10"/>
  <c r="H196" i="2"/>
  <c r="H87" i="2" s="1"/>
  <c r="I196" i="2"/>
  <c r="I87" i="2" s="1"/>
  <c r="E196" i="2"/>
  <c r="E87" i="2" s="1"/>
  <c r="F196" i="2"/>
  <c r="F87" i="2" s="1"/>
  <c r="G196" i="2"/>
  <c r="G87" i="2" s="1"/>
  <c r="S102" i="2"/>
  <c r="S138" i="1" s="1"/>
  <c r="N80" i="17" s="1"/>
  <c r="E150" i="1"/>
  <c r="E102" i="1"/>
  <c r="E166" i="2"/>
  <c r="G102" i="1"/>
  <c r="G166" i="2"/>
  <c r="G57" i="2" s="1"/>
  <c r="F102" i="1"/>
  <c r="F166" i="2"/>
  <c r="F57" i="2" s="1"/>
  <c r="H102" i="1"/>
  <c r="H166" i="2"/>
  <c r="H57" i="2" s="1"/>
  <c r="I102" i="1"/>
  <c r="I166" i="2"/>
  <c r="I57" i="2" s="1"/>
  <c r="F136" i="2"/>
  <c r="F27" i="2" s="1"/>
  <c r="F140" i="2"/>
  <c r="F31" i="2" s="1"/>
  <c r="F138" i="2"/>
  <c r="F29" i="2" s="1"/>
  <c r="G136" i="2"/>
  <c r="G27" i="2" s="1"/>
  <c r="G140" i="2"/>
  <c r="G31" i="2" s="1"/>
  <c r="G138" i="2"/>
  <c r="G29" i="2" s="1"/>
  <c r="H136" i="2"/>
  <c r="H27" i="2" s="1"/>
  <c r="H140" i="2"/>
  <c r="H31" i="2" s="1"/>
  <c r="H138" i="2"/>
  <c r="E138" i="2"/>
  <c r="E29" i="2" s="1"/>
  <c r="E136" i="2"/>
  <c r="E27" i="2" s="1"/>
  <c r="E140" i="2"/>
  <c r="E31" i="2" s="1"/>
  <c r="I136" i="2"/>
  <c r="I27" i="2" s="1"/>
  <c r="I140" i="2"/>
  <c r="I31" i="2" s="1"/>
  <c r="I138" i="2"/>
  <c r="I29" i="2" s="1"/>
  <c r="F70" i="1"/>
  <c r="G70" i="1"/>
  <c r="H70" i="1"/>
  <c r="I70" i="1"/>
  <c r="E70" i="1"/>
  <c r="E61" i="1"/>
  <c r="E64" i="1"/>
  <c r="E67" i="1"/>
  <c r="F61" i="1"/>
  <c r="F64" i="1"/>
  <c r="F67" i="1"/>
  <c r="G61" i="1"/>
  <c r="G64" i="1"/>
  <c r="G67" i="1"/>
  <c r="H64" i="1"/>
  <c r="H61" i="1"/>
  <c r="H67" i="1"/>
  <c r="I64" i="1"/>
  <c r="I61" i="1"/>
  <c r="I67" i="1"/>
  <c r="H18" i="1"/>
  <c r="G50" i="1"/>
  <c r="G23" i="2" s="1"/>
  <c r="I22" i="1"/>
  <c r="E90" i="1"/>
  <c r="G126" i="1"/>
  <c r="F126" i="1"/>
  <c r="H126" i="1"/>
  <c r="G25" i="1"/>
  <c r="E126" i="1"/>
  <c r="I126" i="1"/>
  <c r="I90" i="1"/>
  <c r="I87" i="1"/>
  <c r="I84" i="1"/>
  <c r="I81" i="1"/>
  <c r="I78" i="1"/>
  <c r="K20" i="1"/>
  <c r="H78" i="1"/>
  <c r="G78" i="1"/>
  <c r="H81" i="1"/>
  <c r="E78" i="1"/>
  <c r="F90" i="1"/>
  <c r="F87" i="1"/>
  <c r="E32" i="1"/>
  <c r="E33" i="1" s="1"/>
  <c r="G84" i="1"/>
  <c r="H87" i="1"/>
  <c r="E84" i="1"/>
  <c r="F78" i="1"/>
  <c r="G87" i="1"/>
  <c r="E81" i="1"/>
  <c r="E87" i="1"/>
  <c r="F81" i="1"/>
  <c r="H90" i="1"/>
  <c r="G81" i="1"/>
  <c r="H84" i="1"/>
  <c r="F84" i="1"/>
  <c r="G90" i="1"/>
  <c r="I44" i="1"/>
  <c r="G32" i="1"/>
  <c r="I32" i="1"/>
  <c r="D48" i="17" s="1"/>
  <c r="G44" i="1"/>
  <c r="H44" i="1"/>
  <c r="H32" i="1"/>
  <c r="C48" i="17" s="1"/>
  <c r="F25" i="1"/>
  <c r="H53" i="1"/>
  <c r="E47" i="1"/>
  <c r="E22" i="2" s="1"/>
  <c r="F47" i="1"/>
  <c r="F22" i="2" s="1"/>
  <c r="F38" i="1"/>
  <c r="F50" i="1"/>
  <c r="F23" i="2" s="1"/>
  <c r="G30" i="1"/>
  <c r="G16" i="2" s="1"/>
  <c r="G41" i="1"/>
  <c r="G20" i="2" s="1"/>
  <c r="H50" i="1"/>
  <c r="H23" i="2" s="1"/>
  <c r="H30" i="1"/>
  <c r="H16" i="2" s="1"/>
  <c r="H41" i="1"/>
  <c r="H20" i="2" s="1"/>
  <c r="I50" i="1"/>
  <c r="I23" i="2" s="1"/>
  <c r="G47" i="1"/>
  <c r="G22" i="2" s="1"/>
  <c r="G38" i="1"/>
  <c r="H47" i="1"/>
  <c r="H22" i="2" s="1"/>
  <c r="I47" i="1"/>
  <c r="I22" i="2" s="1"/>
  <c r="I30" i="1"/>
  <c r="I16" i="2" s="1"/>
  <c r="I41" i="1"/>
  <c r="I20" i="2" s="1"/>
  <c r="E53" i="1"/>
  <c r="E50" i="1"/>
  <c r="E23" i="2" s="1"/>
  <c r="E30" i="1"/>
  <c r="E16" i="2" s="1"/>
  <c r="F41" i="1"/>
  <c r="F20" i="2" s="1"/>
  <c r="E44" i="1"/>
  <c r="F53" i="1"/>
  <c r="E38" i="1"/>
  <c r="I53" i="1"/>
  <c r="H38" i="1"/>
  <c r="I38" i="1"/>
  <c r="E41" i="1"/>
  <c r="E20" i="2" s="1"/>
  <c r="F30" i="1"/>
  <c r="F16" i="2" s="1"/>
  <c r="F32" i="1"/>
  <c r="I26" i="10" s="1"/>
  <c r="F44" i="1"/>
  <c r="G53" i="1"/>
  <c r="H25" i="1"/>
  <c r="H14" i="1"/>
  <c r="G14" i="1"/>
  <c r="F14" i="1"/>
  <c r="E14" i="1"/>
  <c r="E22" i="1"/>
  <c r="F18" i="1"/>
  <c r="I14" i="1"/>
  <c r="I18" i="1"/>
  <c r="I25" i="1"/>
  <c r="G18" i="1"/>
  <c r="E10" i="1"/>
  <c r="I10" i="1"/>
  <c r="H22" i="1"/>
  <c r="H10" i="1"/>
  <c r="G22" i="1"/>
  <c r="E18" i="1"/>
  <c r="G10" i="1"/>
  <c r="F22" i="1"/>
  <c r="F10" i="1"/>
  <c r="K16" i="1" l="1"/>
  <c r="K12" i="1"/>
  <c r="C21" i="17"/>
  <c r="H180" i="2"/>
  <c r="H174" i="2"/>
  <c r="C23" i="17"/>
  <c r="H171" i="2"/>
  <c r="J24" i="1"/>
  <c r="K8" i="1"/>
  <c r="C39" i="17"/>
  <c r="D39" i="17"/>
  <c r="D32" i="17"/>
  <c r="C32" i="17"/>
  <c r="C25" i="17"/>
  <c r="C40" i="17"/>
  <c r="C72" i="17"/>
  <c r="D40" i="17"/>
  <c r="D72" i="17"/>
  <c r="H150" i="1"/>
  <c r="C86" i="17"/>
  <c r="C31" i="17"/>
  <c r="I150" i="1"/>
  <c r="D86" i="17"/>
  <c r="H65" i="2"/>
  <c r="C22" i="17"/>
  <c r="D25" i="17"/>
  <c r="K186" i="2"/>
  <c r="K77" i="2" s="1"/>
  <c r="K327" i="1" s="1"/>
  <c r="I77" i="2"/>
  <c r="J186" i="2"/>
  <c r="J77" i="2" s="1"/>
  <c r="J327" i="1" s="1"/>
  <c r="O186" i="2"/>
  <c r="O77" i="2" s="1"/>
  <c r="O327" i="1" s="1"/>
  <c r="R186" i="2"/>
  <c r="R77" i="2" s="1"/>
  <c r="R327" i="1" s="1"/>
  <c r="L186" i="2"/>
  <c r="L77" i="2" s="1"/>
  <c r="L327" i="1" s="1"/>
  <c r="M186" i="2"/>
  <c r="M77" i="2" s="1"/>
  <c r="M327" i="1" s="1"/>
  <c r="Q186" i="2"/>
  <c r="Q77" i="2" s="1"/>
  <c r="Q327" i="1" s="1"/>
  <c r="S186" i="2"/>
  <c r="S77" i="2" s="1"/>
  <c r="S327" i="1" s="1"/>
  <c r="P186" i="2"/>
  <c r="P77" i="2" s="1"/>
  <c r="P327" i="1" s="1"/>
  <c r="N186" i="2"/>
  <c r="N77" i="2" s="1"/>
  <c r="N327" i="1" s="1"/>
  <c r="Q177" i="2"/>
  <c r="Q68" i="2" s="1"/>
  <c r="Q318" i="1" s="1"/>
  <c r="L184" i="17" s="1"/>
  <c r="I68" i="2"/>
  <c r="S177" i="2"/>
  <c r="S68" i="2" s="1"/>
  <c r="S318" i="1" s="1"/>
  <c r="N184" i="17" s="1"/>
  <c r="R177" i="2"/>
  <c r="R68" i="2" s="1"/>
  <c r="R318" i="1" s="1"/>
  <c r="M184" i="17" s="1"/>
  <c r="O177" i="2"/>
  <c r="O68" i="2" s="1"/>
  <c r="O318" i="1" s="1"/>
  <c r="J184" i="17" s="1"/>
  <c r="N177" i="2"/>
  <c r="N68" i="2" s="1"/>
  <c r="N318" i="1" s="1"/>
  <c r="I184" i="17" s="1"/>
  <c r="J177" i="2"/>
  <c r="J68" i="2" s="1"/>
  <c r="J318" i="1" s="1"/>
  <c r="E184" i="17" s="1"/>
  <c r="P177" i="2"/>
  <c r="P68" i="2" s="1"/>
  <c r="P318" i="1" s="1"/>
  <c r="K184" i="17" s="1"/>
  <c r="L177" i="2"/>
  <c r="L68" i="2" s="1"/>
  <c r="L318" i="1" s="1"/>
  <c r="G184" i="17" s="1"/>
  <c r="K177" i="2"/>
  <c r="K68" i="2" s="1"/>
  <c r="K318" i="1" s="1"/>
  <c r="F184" i="17" s="1"/>
  <c r="M177" i="2"/>
  <c r="M68" i="2" s="1"/>
  <c r="M318" i="1" s="1"/>
  <c r="H184" i="17" s="1"/>
  <c r="K183" i="2"/>
  <c r="K74" i="2" s="1"/>
  <c r="K324" i="1" s="1"/>
  <c r="I74" i="2"/>
  <c r="M183" i="2"/>
  <c r="M74" i="2" s="1"/>
  <c r="M324" i="1" s="1"/>
  <c r="S183" i="2"/>
  <c r="S74" i="2" s="1"/>
  <c r="S324" i="1" s="1"/>
  <c r="R183" i="2"/>
  <c r="R74" i="2" s="1"/>
  <c r="R324" i="1" s="1"/>
  <c r="J183" i="2"/>
  <c r="J74" i="2" s="1"/>
  <c r="J324" i="1" s="1"/>
  <c r="N183" i="2"/>
  <c r="N74" i="2" s="1"/>
  <c r="N324" i="1" s="1"/>
  <c r="O183" i="2"/>
  <c r="O74" i="2" s="1"/>
  <c r="O324" i="1" s="1"/>
  <c r="L183" i="2"/>
  <c r="L74" i="2" s="1"/>
  <c r="L324" i="1" s="1"/>
  <c r="P183" i="2"/>
  <c r="P74" i="2" s="1"/>
  <c r="P324" i="1" s="1"/>
  <c r="Q183" i="2"/>
  <c r="Q74" i="2" s="1"/>
  <c r="Q324" i="1" s="1"/>
  <c r="H62" i="2"/>
  <c r="H71" i="2"/>
  <c r="J176" i="2"/>
  <c r="J67" i="2" s="1"/>
  <c r="J317" i="1" s="1"/>
  <c r="E183" i="17" s="1"/>
  <c r="K25" i="10"/>
  <c r="P120" i="2"/>
  <c r="O11" i="2"/>
  <c r="O13" i="1" s="1"/>
  <c r="J208" i="17" s="1"/>
  <c r="P119" i="2"/>
  <c r="O10" i="2"/>
  <c r="O9" i="1" s="1"/>
  <c r="J207" i="17" s="1"/>
  <c r="O12" i="2"/>
  <c r="O17" i="1" s="1"/>
  <c r="J209" i="17" s="1"/>
  <c r="I107" i="1"/>
  <c r="K24" i="10"/>
  <c r="H33" i="1"/>
  <c r="K26" i="10"/>
  <c r="P136" i="2"/>
  <c r="Q136" i="2" s="1"/>
  <c r="R136" i="2" s="1"/>
  <c r="G33" i="1"/>
  <c r="J26" i="10"/>
  <c r="I27" i="10"/>
  <c r="L20" i="1"/>
  <c r="N140" i="2"/>
  <c r="N31" i="2" s="1"/>
  <c r="I223" i="17" s="1"/>
  <c r="P140" i="2"/>
  <c r="P31" i="2" s="1"/>
  <c r="K223" i="17" s="1"/>
  <c r="Q140" i="2"/>
  <c r="Q31" i="2" s="1"/>
  <c r="L223" i="17" s="1"/>
  <c r="K140" i="2"/>
  <c r="K31" i="2" s="1"/>
  <c r="F223" i="17" s="1"/>
  <c r="O140" i="2"/>
  <c r="O31" i="2" s="1"/>
  <c r="J223" i="17" s="1"/>
  <c r="L140" i="2"/>
  <c r="L31" i="2" s="1"/>
  <c r="G223" i="17" s="1"/>
  <c r="J140" i="2"/>
  <c r="M140" i="2"/>
  <c r="M31" i="2" s="1"/>
  <c r="H223" i="17" s="1"/>
  <c r="R140" i="2"/>
  <c r="R31" i="2" s="1"/>
  <c r="M223" i="17" s="1"/>
  <c r="S140" i="2"/>
  <c r="S31" i="2" s="1"/>
  <c r="N223" i="17" s="1"/>
  <c r="H29" i="2"/>
  <c r="M138" i="2"/>
  <c r="J138" i="2"/>
  <c r="J137" i="2" s="1"/>
  <c r="J236" i="1" s="1"/>
  <c r="K138" i="2"/>
  <c r="L138" i="2"/>
  <c r="L12" i="1"/>
  <c r="I33" i="1"/>
  <c r="J195" i="2"/>
  <c r="J86" i="2" s="1"/>
  <c r="J189" i="1" s="1"/>
  <c r="E118" i="17" s="1"/>
  <c r="J102" i="2"/>
  <c r="J138" i="1" s="1"/>
  <c r="E57" i="2"/>
  <c r="Q57" i="2"/>
  <c r="S57" i="2"/>
  <c r="P57" i="2"/>
  <c r="O57" i="2"/>
  <c r="N57" i="2"/>
  <c r="M57" i="2"/>
  <c r="L57" i="2"/>
  <c r="K57" i="2"/>
  <c r="J57" i="2"/>
  <c r="R57" i="2"/>
  <c r="J146" i="2"/>
  <c r="G54" i="10" s="1"/>
  <c r="J35" i="2"/>
  <c r="E225" i="17" s="1"/>
  <c r="J10" i="1"/>
  <c r="J90" i="1"/>
  <c r="J84" i="1"/>
  <c r="J87" i="1"/>
  <c r="E55" i="1"/>
  <c r="H55" i="1"/>
  <c r="C50" i="17" s="1"/>
  <c r="J25" i="1"/>
  <c r="J43" i="1"/>
  <c r="G21" i="2"/>
  <c r="E21" i="2"/>
  <c r="L16" i="1"/>
  <c r="F21" i="2"/>
  <c r="I21" i="2"/>
  <c r="H21" i="2"/>
  <c r="G55" i="1"/>
  <c r="I55" i="1"/>
  <c r="D50" i="17" s="1"/>
  <c r="F33" i="1"/>
  <c r="F55" i="1"/>
  <c r="J37" i="1" l="1"/>
  <c r="J135" i="2"/>
  <c r="G52" i="10" s="1"/>
  <c r="J14" i="1"/>
  <c r="J69" i="1"/>
  <c r="J22" i="1"/>
  <c r="L8" i="1"/>
  <c r="M8" i="1" s="1"/>
  <c r="J40" i="1"/>
  <c r="J46" i="1"/>
  <c r="J49" i="1"/>
  <c r="J52" i="1" s="1"/>
  <c r="E49" i="17" s="1"/>
  <c r="K144" i="2"/>
  <c r="K146" i="2" s="1"/>
  <c r="H54" i="10" s="1"/>
  <c r="J18" i="1"/>
  <c r="M3" i="10"/>
  <c r="G33" i="10"/>
  <c r="J331" i="1"/>
  <c r="E195" i="17" s="1"/>
  <c r="P102" i="1"/>
  <c r="K219" i="17"/>
  <c r="S102" i="1"/>
  <c r="N219" i="17"/>
  <c r="O102" i="1"/>
  <c r="J219" i="17"/>
  <c r="J102" i="1"/>
  <c r="J101" i="1" s="1"/>
  <c r="J157" i="1" s="1"/>
  <c r="E93" i="17" s="1"/>
  <c r="E219" i="17"/>
  <c r="R102" i="1"/>
  <c r="M219" i="17"/>
  <c r="K102" i="1"/>
  <c r="F219" i="17"/>
  <c r="L102" i="1"/>
  <c r="G219" i="17"/>
  <c r="Q102" i="1"/>
  <c r="L219" i="17"/>
  <c r="M102" i="1"/>
  <c r="H219" i="17"/>
  <c r="N102" i="1"/>
  <c r="I219" i="17"/>
  <c r="J235" i="1"/>
  <c r="E148" i="17" s="1"/>
  <c r="J29" i="1"/>
  <c r="E47" i="17" s="1"/>
  <c r="K24" i="1"/>
  <c r="K37" i="1" s="1"/>
  <c r="I180" i="2"/>
  <c r="I174" i="2"/>
  <c r="I171" i="2"/>
  <c r="E4" i="15"/>
  <c r="E46" i="17"/>
  <c r="H190" i="17"/>
  <c r="H188" i="17"/>
  <c r="N188" i="17"/>
  <c r="N190" i="17"/>
  <c r="G188" i="17"/>
  <c r="G190" i="17"/>
  <c r="M188" i="17"/>
  <c r="M190" i="17"/>
  <c r="J188" i="17"/>
  <c r="J190" i="17"/>
  <c r="E190" i="17"/>
  <c r="E188" i="17"/>
  <c r="J139" i="2"/>
  <c r="G53" i="10" s="1"/>
  <c r="J31" i="2"/>
  <c r="E223" i="17" s="1"/>
  <c r="F188" i="17"/>
  <c r="F190" i="17"/>
  <c r="L188" i="17"/>
  <c r="L190" i="17"/>
  <c r="I188" i="17"/>
  <c r="I190" i="17"/>
  <c r="K188" i="17"/>
  <c r="K190" i="17"/>
  <c r="E80" i="17"/>
  <c r="J203" i="1"/>
  <c r="E130" i="17" s="1"/>
  <c r="E149" i="17"/>
  <c r="C24" i="17"/>
  <c r="C87" i="17"/>
  <c r="C35" i="17"/>
  <c r="D23" i="17"/>
  <c r="D22" i="17"/>
  <c r="D21" i="17"/>
  <c r="C6" i="17"/>
  <c r="D6" i="17"/>
  <c r="D87" i="17"/>
  <c r="D35" i="17"/>
  <c r="J185" i="2"/>
  <c r="J76" i="2" s="1"/>
  <c r="J326" i="1" s="1"/>
  <c r="J182" i="2"/>
  <c r="J73" i="2" s="1"/>
  <c r="J323" i="1" s="1"/>
  <c r="L26" i="10"/>
  <c r="I72" i="1"/>
  <c r="M265" i="1"/>
  <c r="N265" i="1" s="1"/>
  <c r="L264" i="1"/>
  <c r="M264" i="1" s="1"/>
  <c r="J262" i="1"/>
  <c r="J272" i="1" s="1"/>
  <c r="J204" i="1" s="1"/>
  <c r="E131" i="17" s="1"/>
  <c r="Q269" i="1"/>
  <c r="R269" i="1" s="1"/>
  <c r="S269" i="1" s="1"/>
  <c r="P268" i="1"/>
  <c r="O267" i="1"/>
  <c r="P267" i="1" s="1"/>
  <c r="N266" i="1"/>
  <c r="O266" i="1" s="1"/>
  <c r="K263" i="1"/>
  <c r="L263" i="1" s="1"/>
  <c r="S271" i="1"/>
  <c r="R270" i="1"/>
  <c r="S270" i="1" s="1"/>
  <c r="E5" i="15"/>
  <c r="Q121" i="2"/>
  <c r="P12" i="2"/>
  <c r="P17" i="1" s="1"/>
  <c r="K209" i="17" s="1"/>
  <c r="M12" i="1"/>
  <c r="Q119" i="2"/>
  <c r="P10" i="2"/>
  <c r="P9" i="1" s="1"/>
  <c r="K207" i="17" s="1"/>
  <c r="Q120" i="2"/>
  <c r="P11" i="2"/>
  <c r="P13" i="1" s="1"/>
  <c r="K208" i="17" s="1"/>
  <c r="K27" i="10"/>
  <c r="L24" i="10"/>
  <c r="J107" i="1"/>
  <c r="L25" i="10"/>
  <c r="J27" i="10"/>
  <c r="M20" i="1"/>
  <c r="K37" i="2"/>
  <c r="K213" i="1" s="1"/>
  <c r="J37" i="2"/>
  <c r="M4" i="10"/>
  <c r="K102" i="2"/>
  <c r="K138" i="1" s="1"/>
  <c r="J165" i="2"/>
  <c r="J56" i="2" s="1"/>
  <c r="K27" i="2"/>
  <c r="F221" i="17" s="1"/>
  <c r="J28" i="2"/>
  <c r="J29" i="2"/>
  <c r="E222" i="17" s="1"/>
  <c r="M29" i="2"/>
  <c r="H222" i="17" s="1"/>
  <c r="L29" i="2"/>
  <c r="G222" i="17" s="1"/>
  <c r="K29" i="2"/>
  <c r="F222" i="17" s="1"/>
  <c r="M27" i="2"/>
  <c r="H221" i="17" s="1"/>
  <c r="J27" i="2"/>
  <c r="E221" i="17" s="1"/>
  <c r="L27" i="2"/>
  <c r="G221" i="17" s="1"/>
  <c r="F72" i="1"/>
  <c r="G72" i="1"/>
  <c r="E72" i="1"/>
  <c r="H56" i="1"/>
  <c r="C7" i="17" s="1"/>
  <c r="H72" i="1"/>
  <c r="E56" i="1"/>
  <c r="M16" i="1"/>
  <c r="F56" i="1"/>
  <c r="I56" i="1"/>
  <c r="D7" i="17" s="1"/>
  <c r="G56" i="1"/>
  <c r="L24" i="1" l="1"/>
  <c r="L37" i="1" s="1"/>
  <c r="K185" i="2"/>
  <c r="K76" i="2" s="1"/>
  <c r="K326" i="1" s="1"/>
  <c r="K35" i="2"/>
  <c r="F225" i="17" s="1"/>
  <c r="K46" i="1"/>
  <c r="L144" i="2"/>
  <c r="L35" i="2" s="1"/>
  <c r="G225" i="17" s="1"/>
  <c r="K18" i="1"/>
  <c r="M249" i="1"/>
  <c r="K25" i="1"/>
  <c r="F5" i="15" s="1"/>
  <c r="S249" i="1"/>
  <c r="K101" i="1"/>
  <c r="K157" i="1" s="1"/>
  <c r="F93" i="17" s="1"/>
  <c r="L249" i="1"/>
  <c r="J32" i="1"/>
  <c r="E48" i="17" s="1"/>
  <c r="K176" i="2"/>
  <c r="K67" i="2" s="1"/>
  <c r="K317" i="1" s="1"/>
  <c r="F183" i="17" s="1"/>
  <c r="K69" i="1"/>
  <c r="K182" i="2"/>
  <c r="K73" i="2" s="1"/>
  <c r="K323" i="1" s="1"/>
  <c r="K129" i="1" s="1"/>
  <c r="H49" i="10" s="1"/>
  <c r="K84" i="1"/>
  <c r="P249" i="1"/>
  <c r="K331" i="1"/>
  <c r="F195" i="17" s="1"/>
  <c r="K87" i="1"/>
  <c r="K14" i="1"/>
  <c r="K249" i="1"/>
  <c r="K22" i="1"/>
  <c r="K10" i="1"/>
  <c r="K137" i="2"/>
  <c r="Q249" i="1"/>
  <c r="K29" i="1"/>
  <c r="K40" i="1"/>
  <c r="J26" i="2"/>
  <c r="F4" i="15"/>
  <c r="K49" i="1"/>
  <c r="J173" i="2"/>
  <c r="J64" i="2" s="1"/>
  <c r="J314" i="1" s="1"/>
  <c r="E181" i="17" s="1"/>
  <c r="R249" i="1"/>
  <c r="N3" i="10"/>
  <c r="H33" i="10"/>
  <c r="K43" i="1"/>
  <c r="K90" i="1"/>
  <c r="K195" i="2"/>
  <c r="K86" i="2" s="1"/>
  <c r="K189" i="1" s="1"/>
  <c r="F118" i="17" s="1"/>
  <c r="K135" i="2"/>
  <c r="J198" i="1"/>
  <c r="K139" i="2"/>
  <c r="H53" i="10" s="1"/>
  <c r="K165" i="2"/>
  <c r="K56" i="2" s="1"/>
  <c r="O249" i="1"/>
  <c r="J249" i="1"/>
  <c r="J259" i="1" s="1"/>
  <c r="N249" i="1"/>
  <c r="F46" i="17"/>
  <c r="E187" i="17"/>
  <c r="E189" i="17"/>
  <c r="J237" i="1"/>
  <c r="J208" i="1" s="1"/>
  <c r="J30" i="2"/>
  <c r="D24" i="17"/>
  <c r="F187" i="17"/>
  <c r="F189" i="17"/>
  <c r="F80" i="17"/>
  <c r="K174" i="1"/>
  <c r="F140" i="17"/>
  <c r="L331" i="1"/>
  <c r="G195" i="17" s="1"/>
  <c r="G46" i="17"/>
  <c r="E79" i="17"/>
  <c r="J179" i="2"/>
  <c r="J70" i="2" s="1"/>
  <c r="J320" i="1" s="1"/>
  <c r="D34" i="17"/>
  <c r="D53" i="17"/>
  <c r="D13" i="17"/>
  <c r="F47" i="17"/>
  <c r="C53" i="17"/>
  <c r="H92" i="1"/>
  <c r="C55" i="17" s="1"/>
  <c r="C13" i="17"/>
  <c r="C34" i="17"/>
  <c r="R171" i="2"/>
  <c r="R62" i="2" s="1"/>
  <c r="R312" i="1" s="1"/>
  <c r="M180" i="17" s="1"/>
  <c r="I62" i="2"/>
  <c r="O171" i="2"/>
  <c r="O62" i="2" s="1"/>
  <c r="O312" i="1" s="1"/>
  <c r="J180" i="17" s="1"/>
  <c r="L171" i="2"/>
  <c r="L62" i="2" s="1"/>
  <c r="L312" i="1" s="1"/>
  <c r="G180" i="17" s="1"/>
  <c r="S171" i="2"/>
  <c r="S62" i="2" s="1"/>
  <c r="S312" i="1" s="1"/>
  <c r="N180" i="17" s="1"/>
  <c r="Q171" i="2"/>
  <c r="Q62" i="2" s="1"/>
  <c r="Q312" i="1" s="1"/>
  <c r="L180" i="17" s="1"/>
  <c r="M171" i="2"/>
  <c r="M62" i="2" s="1"/>
  <c r="M312" i="1" s="1"/>
  <c r="H180" i="17" s="1"/>
  <c r="N171" i="2"/>
  <c r="N62" i="2" s="1"/>
  <c r="N312" i="1" s="1"/>
  <c r="I180" i="17" s="1"/>
  <c r="P171" i="2"/>
  <c r="P62" i="2" s="1"/>
  <c r="P312" i="1" s="1"/>
  <c r="K180" i="17" s="1"/>
  <c r="N180" i="2"/>
  <c r="I71" i="2"/>
  <c r="R180" i="2"/>
  <c r="L180" i="2"/>
  <c r="O180" i="2"/>
  <c r="M180" i="2"/>
  <c r="Q180" i="2"/>
  <c r="S180" i="2"/>
  <c r="K180" i="2"/>
  <c r="P180" i="2"/>
  <c r="R174" i="2"/>
  <c r="R65" i="2" s="1"/>
  <c r="R315" i="1" s="1"/>
  <c r="M182" i="17" s="1"/>
  <c r="I65" i="2"/>
  <c r="S174" i="2"/>
  <c r="S65" i="2" s="1"/>
  <c r="S315" i="1" s="1"/>
  <c r="N182" i="17" s="1"/>
  <c r="M174" i="2"/>
  <c r="M65" i="2" s="1"/>
  <c r="M315" i="1" s="1"/>
  <c r="H182" i="17" s="1"/>
  <c r="N174" i="2"/>
  <c r="N65" i="2" s="1"/>
  <c r="N315" i="1" s="1"/>
  <c r="I182" i="17" s="1"/>
  <c r="L174" i="2"/>
  <c r="L65" i="2" s="1"/>
  <c r="L315" i="1" s="1"/>
  <c r="G182" i="17" s="1"/>
  <c r="Q174" i="2"/>
  <c r="Q65" i="2" s="1"/>
  <c r="Q315" i="1" s="1"/>
  <c r="L182" i="17" s="1"/>
  <c r="O174" i="2"/>
  <c r="O65" i="2" s="1"/>
  <c r="O315" i="1" s="1"/>
  <c r="J182" i="17" s="1"/>
  <c r="P174" i="2"/>
  <c r="P65" i="2" s="1"/>
  <c r="P315" i="1" s="1"/>
  <c r="K182" i="17" s="1"/>
  <c r="K107" i="1"/>
  <c r="K173" i="2" s="1"/>
  <c r="K64" i="2" s="1"/>
  <c r="K314" i="1" s="1"/>
  <c r="F181" i="17" s="1"/>
  <c r="J170" i="2"/>
  <c r="J61" i="2" s="1"/>
  <c r="J311" i="1" s="1"/>
  <c r="L182" i="2"/>
  <c r="L73" i="2" s="1"/>
  <c r="L323" i="1" s="1"/>
  <c r="L129" i="1" s="1"/>
  <c r="L185" i="2"/>
  <c r="L76" i="2" s="1"/>
  <c r="L326" i="1" s="1"/>
  <c r="L176" i="2"/>
  <c r="L67" i="2" s="1"/>
  <c r="L317" i="1" s="1"/>
  <c r="G183" i="17" s="1"/>
  <c r="F79" i="17"/>
  <c r="O265" i="1"/>
  <c r="P265" i="1" s="1"/>
  <c r="Q265" i="1" s="1"/>
  <c r="R265" i="1" s="1"/>
  <c r="J213" i="1"/>
  <c r="Q267" i="1"/>
  <c r="R267" i="1" s="1"/>
  <c r="S267" i="1" s="1"/>
  <c r="P266" i="1"/>
  <c r="Q266" i="1" s="1"/>
  <c r="R266" i="1" s="1"/>
  <c r="S266" i="1" s="1"/>
  <c r="K262" i="1"/>
  <c r="L262" i="1" s="1"/>
  <c r="M263" i="1"/>
  <c r="N263" i="1" s="1"/>
  <c r="N264" i="1"/>
  <c r="O264" i="1" s="1"/>
  <c r="Q268" i="1"/>
  <c r="R268" i="1" s="1"/>
  <c r="S268" i="1" s="1"/>
  <c r="K28" i="2"/>
  <c r="K236" i="1"/>
  <c r="G4" i="15"/>
  <c r="N12" i="1"/>
  <c r="R120" i="2"/>
  <c r="R11" i="2" s="1"/>
  <c r="R13" i="1" s="1"/>
  <c r="M208" i="17" s="1"/>
  <c r="Q11" i="2"/>
  <c r="Q13" i="1" s="1"/>
  <c r="L208" i="17" s="1"/>
  <c r="R119" i="2"/>
  <c r="R10" i="2" s="1"/>
  <c r="R9" i="1" s="1"/>
  <c r="M207" i="17" s="1"/>
  <c r="Q10" i="2"/>
  <c r="Q9" i="1" s="1"/>
  <c r="L207" i="17" s="1"/>
  <c r="R121" i="2"/>
  <c r="R12" i="2" s="1"/>
  <c r="R17" i="1" s="1"/>
  <c r="M209" i="17" s="1"/>
  <c r="Q12" i="2"/>
  <c r="Q17" i="1" s="1"/>
  <c r="L209" i="17" s="1"/>
  <c r="L27" i="10"/>
  <c r="J33" i="1"/>
  <c r="M7" i="10"/>
  <c r="M8" i="10" s="1"/>
  <c r="J129" i="1"/>
  <c r="G49" i="10" s="1"/>
  <c r="J114" i="1"/>
  <c r="F92" i="1"/>
  <c r="F93" i="1" s="1"/>
  <c r="C35" i="10"/>
  <c r="G73" i="1"/>
  <c r="D35" i="10"/>
  <c r="E35" i="10"/>
  <c r="N20" i="1"/>
  <c r="I33" i="10"/>
  <c r="L135" i="2"/>
  <c r="O3" i="10"/>
  <c r="F35" i="10"/>
  <c r="J205" i="1"/>
  <c r="N4" i="10"/>
  <c r="L102" i="2"/>
  <c r="L138" i="1" s="1"/>
  <c r="J53" i="1"/>
  <c r="L165" i="2"/>
  <c r="L56" i="2" s="1"/>
  <c r="L195" i="2"/>
  <c r="L86" i="2" s="1"/>
  <c r="L189" i="1" s="1"/>
  <c r="G118" i="17" s="1"/>
  <c r="L101" i="1"/>
  <c r="L157" i="1" s="1"/>
  <c r="G93" i="17" s="1"/>
  <c r="L146" i="2"/>
  <c r="I54" i="10" s="1"/>
  <c r="M144" i="2"/>
  <c r="M35" i="2" s="1"/>
  <c r="H225" i="17" s="1"/>
  <c r="S27" i="2"/>
  <c r="N221" i="17" s="1"/>
  <c r="S29" i="2"/>
  <c r="N222" i="17" s="1"/>
  <c r="L137" i="2"/>
  <c r="N138" i="2"/>
  <c r="L139" i="2"/>
  <c r="I53" i="10" s="1"/>
  <c r="F73" i="1"/>
  <c r="L90" i="1"/>
  <c r="L84" i="1"/>
  <c r="L87" i="1"/>
  <c r="G92" i="1"/>
  <c r="G96" i="1" s="1"/>
  <c r="H73" i="1"/>
  <c r="C8" i="17" s="1"/>
  <c r="E73" i="1"/>
  <c r="E92" i="1"/>
  <c r="I73" i="1"/>
  <c r="D8" i="17" s="1"/>
  <c r="I92" i="1"/>
  <c r="D55" i="17" s="1"/>
  <c r="K32" i="1"/>
  <c r="F48" i="17" s="1"/>
  <c r="L69" i="1"/>
  <c r="L40" i="1"/>
  <c r="L46" i="1"/>
  <c r="L43" i="1"/>
  <c r="L29" i="1"/>
  <c r="L49" i="1"/>
  <c r="L10" i="1"/>
  <c r="L22" i="1"/>
  <c r="L14" i="1"/>
  <c r="L25" i="1"/>
  <c r="M24" i="1"/>
  <c r="M37" i="1" s="1"/>
  <c r="N8" i="1"/>
  <c r="L18" i="1"/>
  <c r="N16" i="1"/>
  <c r="E65" i="17" l="1"/>
  <c r="G46" i="10"/>
  <c r="E125" i="17"/>
  <c r="J172" i="1"/>
  <c r="E105" i="17" s="1"/>
  <c r="K235" i="1"/>
  <c r="F148" i="17" s="1"/>
  <c r="H52" i="10"/>
  <c r="L235" i="1"/>
  <c r="G148" i="17" s="1"/>
  <c r="I52" i="10"/>
  <c r="I49" i="10"/>
  <c r="J55" i="1"/>
  <c r="E50" i="17" s="1"/>
  <c r="J113" i="1"/>
  <c r="K52" i="1"/>
  <c r="F49" i="17" s="1"/>
  <c r="M16" i="10"/>
  <c r="M17" i="10" s="1"/>
  <c r="R250" i="1"/>
  <c r="P250" i="1"/>
  <c r="K26" i="2"/>
  <c r="K30" i="2"/>
  <c r="L250" i="1"/>
  <c r="N250" i="1"/>
  <c r="Q250" i="1"/>
  <c r="M250" i="1"/>
  <c r="J275" i="1"/>
  <c r="J285" i="1" s="1"/>
  <c r="J209" i="1" s="1"/>
  <c r="K237" i="1"/>
  <c r="P276" i="1" s="1"/>
  <c r="J300" i="1"/>
  <c r="J60" i="1" s="1"/>
  <c r="E51" i="17" s="1"/>
  <c r="J199" i="1"/>
  <c r="E126" i="17" s="1"/>
  <c r="S275" i="1"/>
  <c r="Q275" i="1"/>
  <c r="J238" i="1"/>
  <c r="J239" i="1" s="1"/>
  <c r="E152" i="17" s="1"/>
  <c r="P275" i="1"/>
  <c r="N275" i="1"/>
  <c r="K275" i="1"/>
  <c r="K288" i="1" s="1"/>
  <c r="F161" i="17" s="1"/>
  <c r="R275" i="1"/>
  <c r="O275" i="1"/>
  <c r="M275" i="1"/>
  <c r="L275" i="1"/>
  <c r="L288" i="1" s="1"/>
  <c r="G161" i="17" s="1"/>
  <c r="J128" i="1"/>
  <c r="E185" i="17"/>
  <c r="G187" i="17"/>
  <c r="G189" i="17"/>
  <c r="J112" i="1"/>
  <c r="E28" i="17" s="1"/>
  <c r="E179" i="17"/>
  <c r="E150" i="17"/>
  <c r="F39" i="15"/>
  <c r="F107" i="17"/>
  <c r="H96" i="1"/>
  <c r="E38" i="10" s="1"/>
  <c r="E37" i="10" s="1"/>
  <c r="E40" i="10" s="1"/>
  <c r="K203" i="1"/>
  <c r="F130" i="17" s="1"/>
  <c r="F149" i="17"/>
  <c r="J173" i="1"/>
  <c r="E135" i="17"/>
  <c r="J174" i="1"/>
  <c r="E107" i="17" s="1"/>
  <c r="E140" i="17"/>
  <c r="K202" i="1"/>
  <c r="F129" i="17" s="1"/>
  <c r="E132" i="17"/>
  <c r="K179" i="2"/>
  <c r="K70" i="2" s="1"/>
  <c r="K320" i="1" s="1"/>
  <c r="G80" i="17"/>
  <c r="P71" i="2"/>
  <c r="P321" i="1" s="1"/>
  <c r="K186" i="17" s="1"/>
  <c r="M331" i="1"/>
  <c r="H195" i="17" s="1"/>
  <c r="H46" i="17"/>
  <c r="Q71" i="2"/>
  <c r="Q321" i="1" s="1"/>
  <c r="L186" i="17" s="1"/>
  <c r="R71" i="2"/>
  <c r="R321" i="1" s="1"/>
  <c r="M186" i="17" s="1"/>
  <c r="E6" i="17"/>
  <c r="S71" i="2"/>
  <c r="S321" i="1" s="1"/>
  <c r="N186" i="17" s="1"/>
  <c r="O71" i="2"/>
  <c r="O321" i="1" s="1"/>
  <c r="J186" i="17" s="1"/>
  <c r="L71" i="2"/>
  <c r="L321" i="1" s="1"/>
  <c r="G186" i="17" s="1"/>
  <c r="N71" i="2"/>
  <c r="N321" i="1" s="1"/>
  <c r="I186" i="17" s="1"/>
  <c r="E64" i="17"/>
  <c r="E22" i="17"/>
  <c r="E26" i="17"/>
  <c r="M71" i="2"/>
  <c r="M321" i="1" s="1"/>
  <c r="H186" i="17" s="1"/>
  <c r="G47" i="17"/>
  <c r="L107" i="1"/>
  <c r="M107" i="1" s="1"/>
  <c r="N107" i="1" s="1"/>
  <c r="O107" i="1" s="1"/>
  <c r="P107" i="1" s="1"/>
  <c r="Q107" i="1" s="1"/>
  <c r="R107" i="1" s="1"/>
  <c r="S107" i="1" s="1"/>
  <c r="K170" i="2"/>
  <c r="K61" i="2" s="1"/>
  <c r="K311" i="1" s="1"/>
  <c r="K71" i="2"/>
  <c r="K321" i="1" s="1"/>
  <c r="F186" i="17" s="1"/>
  <c r="M185" i="2"/>
  <c r="M76" i="2" s="1"/>
  <c r="M326" i="1" s="1"/>
  <c r="M182" i="2"/>
  <c r="M176" i="2"/>
  <c r="M67" i="2" s="1"/>
  <c r="M317" i="1" s="1"/>
  <c r="H183" i="17" s="1"/>
  <c r="S265" i="1"/>
  <c r="L52" i="1"/>
  <c r="G49" i="17" s="1"/>
  <c r="J215" i="1"/>
  <c r="K272" i="1"/>
  <c r="K204" i="1" s="1"/>
  <c r="O263" i="1"/>
  <c r="L272" i="1"/>
  <c r="L204" i="1" s="1"/>
  <c r="G131" i="17" s="1"/>
  <c r="M262" i="1"/>
  <c r="P264" i="1"/>
  <c r="Q264" i="1" s="1"/>
  <c r="R264" i="1" s="1"/>
  <c r="O251" i="1"/>
  <c r="Q251" i="1"/>
  <c r="R251" i="1"/>
  <c r="P251" i="1"/>
  <c r="M251" i="1"/>
  <c r="L28" i="2"/>
  <c r="L236" i="1"/>
  <c r="L237" i="1"/>
  <c r="F96" i="1"/>
  <c r="C38" i="10" s="1"/>
  <c r="C37" i="10" s="1"/>
  <c r="F98" i="1"/>
  <c r="O12" i="1"/>
  <c r="E33" i="15"/>
  <c r="H4" i="15"/>
  <c r="G5" i="15"/>
  <c r="M10" i="10"/>
  <c r="M11" i="10" s="1"/>
  <c r="E7" i="15"/>
  <c r="K166" i="1"/>
  <c r="J166" i="1"/>
  <c r="E102" i="17" s="1"/>
  <c r="K132" i="1"/>
  <c r="L132" i="1"/>
  <c r="I43" i="10" s="1"/>
  <c r="J132" i="1"/>
  <c r="L166" i="1"/>
  <c r="G102" i="17" s="1"/>
  <c r="L114" i="1"/>
  <c r="K114" i="1"/>
  <c r="H46" i="10" s="1"/>
  <c r="K113" i="1"/>
  <c r="G50" i="2"/>
  <c r="D38" i="10"/>
  <c r="D37" i="10" s="1"/>
  <c r="D40" i="10" s="1"/>
  <c r="O20" i="1"/>
  <c r="J33" i="10"/>
  <c r="M135" i="2"/>
  <c r="P3" i="10"/>
  <c r="K33" i="1"/>
  <c r="N7" i="10"/>
  <c r="N8" i="10" s="1"/>
  <c r="F50" i="2"/>
  <c r="L30" i="2"/>
  <c r="L26" i="2"/>
  <c r="L37" i="2"/>
  <c r="L213" i="1" s="1"/>
  <c r="O16" i="1"/>
  <c r="O4" i="10"/>
  <c r="M102" i="2"/>
  <c r="M138" i="1" s="1"/>
  <c r="K53" i="1"/>
  <c r="M101" i="1"/>
  <c r="M157" i="1" s="1"/>
  <c r="H93" i="17" s="1"/>
  <c r="M195" i="2"/>
  <c r="M86" i="2" s="1"/>
  <c r="M189" i="1" s="1"/>
  <c r="H118" i="17" s="1"/>
  <c r="M165" i="2"/>
  <c r="M56" i="2" s="1"/>
  <c r="M146" i="2"/>
  <c r="J54" i="10" s="1"/>
  <c r="N144" i="2"/>
  <c r="M139" i="2"/>
  <c r="J53" i="10" s="1"/>
  <c r="M137" i="2"/>
  <c r="N27" i="2"/>
  <c r="I221" i="17" s="1"/>
  <c r="O138" i="2"/>
  <c r="N29" i="2"/>
  <c r="I222" i="17" s="1"/>
  <c r="O8" i="1"/>
  <c r="N24" i="1"/>
  <c r="N37" i="1" s="1"/>
  <c r="G93" i="1"/>
  <c r="G98" i="1"/>
  <c r="H93" i="1"/>
  <c r="C9" i="17" s="1"/>
  <c r="H98" i="1"/>
  <c r="M87" i="1"/>
  <c r="M90" i="1"/>
  <c r="M84" i="1"/>
  <c r="H50" i="2"/>
  <c r="I98" i="1"/>
  <c r="I96" i="1"/>
  <c r="I93" i="1"/>
  <c r="D9" i="17" s="1"/>
  <c r="E96" i="1"/>
  <c r="E50" i="2" s="1"/>
  <c r="E98" i="1"/>
  <c r="E104" i="1" s="1"/>
  <c r="E93" i="1"/>
  <c r="L32" i="1"/>
  <c r="M69" i="1"/>
  <c r="M18" i="1"/>
  <c r="M40" i="1"/>
  <c r="M49" i="1"/>
  <c r="M29" i="1"/>
  <c r="M46" i="1"/>
  <c r="M43" i="1"/>
  <c r="M10" i="1"/>
  <c r="K55" i="1"/>
  <c r="F50" i="17" s="1"/>
  <c r="M22" i="1"/>
  <c r="M14" i="1"/>
  <c r="M25" i="1"/>
  <c r="M235" i="1" l="1"/>
  <c r="H148" i="17" s="1"/>
  <c r="J52" i="10"/>
  <c r="H45" i="10"/>
  <c r="G45" i="10"/>
  <c r="E23" i="17"/>
  <c r="G48" i="10"/>
  <c r="J161" i="1"/>
  <c r="G44" i="10"/>
  <c r="H44" i="10"/>
  <c r="E74" i="17"/>
  <c r="G43" i="10"/>
  <c r="N251" i="1"/>
  <c r="L198" i="1"/>
  <c r="G125" i="17" s="1"/>
  <c r="K198" i="1"/>
  <c r="F125" i="17" s="1"/>
  <c r="S250" i="1"/>
  <c r="F65" i="17"/>
  <c r="I46" i="10"/>
  <c r="J56" i="1"/>
  <c r="E7" i="17" s="1"/>
  <c r="G65" i="17"/>
  <c r="H43" i="10"/>
  <c r="L251" i="1"/>
  <c r="L259" i="1" s="1"/>
  <c r="L199" i="1" s="1"/>
  <c r="G126" i="17" s="1"/>
  <c r="K250" i="1"/>
  <c r="K259" i="1" s="1"/>
  <c r="K199" i="1" s="1"/>
  <c r="F126" i="17" s="1"/>
  <c r="S251" i="1"/>
  <c r="O250" i="1"/>
  <c r="E56" i="10"/>
  <c r="E60" i="10" s="1"/>
  <c r="C40" i="10"/>
  <c r="C56" i="10" s="1"/>
  <c r="J200" i="1"/>
  <c r="E127" i="17" s="1"/>
  <c r="J301" i="1"/>
  <c r="J303" i="1"/>
  <c r="J63" i="1" s="1"/>
  <c r="K238" i="1"/>
  <c r="K239" i="1" s="1"/>
  <c r="F152" i="17" s="1"/>
  <c r="S276" i="1"/>
  <c r="J288" i="1"/>
  <c r="K208" i="1"/>
  <c r="F135" i="17" s="1"/>
  <c r="N276" i="1"/>
  <c r="N289" i="1" s="1"/>
  <c r="I162" i="17" s="1"/>
  <c r="O276" i="1"/>
  <c r="K276" i="1"/>
  <c r="K285" i="1" s="1"/>
  <c r="K209" i="1" s="1"/>
  <c r="L276" i="1"/>
  <c r="L289" i="1" s="1"/>
  <c r="G162" i="17" s="1"/>
  <c r="Q276" i="1"/>
  <c r="R276" i="1"/>
  <c r="F150" i="17"/>
  <c r="M276" i="1"/>
  <c r="M289" i="1" s="1"/>
  <c r="H162" i="17" s="1"/>
  <c r="O289" i="1"/>
  <c r="J162" i="17" s="1"/>
  <c r="E73" i="17"/>
  <c r="E151" i="17"/>
  <c r="E63" i="17"/>
  <c r="E21" i="17"/>
  <c r="E24" i="17" s="1"/>
  <c r="K112" i="1"/>
  <c r="F179" i="17"/>
  <c r="J298" i="1"/>
  <c r="E171" i="17" s="1"/>
  <c r="E161" i="17"/>
  <c r="F40" i="15"/>
  <c r="F239" i="17"/>
  <c r="E34" i="15"/>
  <c r="E237" i="17"/>
  <c r="M132" i="1"/>
  <c r="J43" i="10" s="1"/>
  <c r="H187" i="17"/>
  <c r="H189" i="17"/>
  <c r="K128" i="1"/>
  <c r="F185" i="17"/>
  <c r="K172" i="1"/>
  <c r="F105" i="17" s="1"/>
  <c r="M272" i="1"/>
  <c r="M204" i="1" s="1"/>
  <c r="H131" i="17" s="1"/>
  <c r="M288" i="1"/>
  <c r="H161" i="17" s="1"/>
  <c r="L173" i="2"/>
  <c r="L64" i="2" s="1"/>
  <c r="L314" i="1" s="1"/>
  <c r="K173" i="1"/>
  <c r="F106" i="17" s="1"/>
  <c r="L208" i="1"/>
  <c r="G135" i="17" s="1"/>
  <c r="G150" i="17"/>
  <c r="E106" i="17"/>
  <c r="E36" i="15"/>
  <c r="K212" i="1"/>
  <c r="E142" i="17"/>
  <c r="E39" i="15"/>
  <c r="J210" i="1"/>
  <c r="E136" i="17"/>
  <c r="L174" i="1"/>
  <c r="G107" i="17" s="1"/>
  <c r="G140" i="17"/>
  <c r="L203" i="1"/>
  <c r="G130" i="17" s="1"/>
  <c r="G149" i="17"/>
  <c r="H80" i="17"/>
  <c r="K205" i="1"/>
  <c r="F131" i="17"/>
  <c r="F21" i="17"/>
  <c r="I104" i="1"/>
  <c r="D57" i="17"/>
  <c r="D38" i="17"/>
  <c r="D41" i="17" s="1"/>
  <c r="D12" i="17"/>
  <c r="D11" i="17"/>
  <c r="F6" i="17"/>
  <c r="L159" i="1"/>
  <c r="L179" i="2"/>
  <c r="L70" i="2" s="1"/>
  <c r="L320" i="1" s="1"/>
  <c r="C12" i="17"/>
  <c r="C57" i="17"/>
  <c r="C11" i="17"/>
  <c r="C38" i="17"/>
  <c r="C41" i="17" s="1"/>
  <c r="G79" i="17"/>
  <c r="E25" i="15"/>
  <c r="E97" i="17"/>
  <c r="G74" i="17"/>
  <c r="F64" i="17"/>
  <c r="F22" i="17"/>
  <c r="F26" i="17"/>
  <c r="O7" i="10"/>
  <c r="O8" i="10" s="1"/>
  <c r="G48" i="17"/>
  <c r="M170" i="2"/>
  <c r="M61" i="2" s="1"/>
  <c r="M311" i="1" s="1"/>
  <c r="F30" i="15"/>
  <c r="F102" i="17"/>
  <c r="M173" i="2"/>
  <c r="M64" i="2" s="1"/>
  <c r="M314" i="1" s="1"/>
  <c r="H47" i="17"/>
  <c r="L170" i="2"/>
  <c r="L61" i="2" s="1"/>
  <c r="L311" i="1" s="1"/>
  <c r="F74" i="17"/>
  <c r="M179" i="2"/>
  <c r="M70" i="2" s="1"/>
  <c r="M320" i="1" s="1"/>
  <c r="I46" i="17"/>
  <c r="J159" i="1"/>
  <c r="D56" i="10"/>
  <c r="D57" i="10" s="1"/>
  <c r="N331" i="1"/>
  <c r="I195" i="17" s="1"/>
  <c r="K159" i="1"/>
  <c r="M73" i="2"/>
  <c r="M323" i="1" s="1"/>
  <c r="M129" i="1" s="1"/>
  <c r="J49" i="10" s="1"/>
  <c r="N170" i="2"/>
  <c r="N61" i="2" s="1"/>
  <c r="N311" i="1" s="1"/>
  <c r="I179" i="17" s="1"/>
  <c r="N182" i="2"/>
  <c r="N73" i="2" s="1"/>
  <c r="N323" i="1" s="1"/>
  <c r="N129" i="1" s="1"/>
  <c r="K49" i="10" s="1"/>
  <c r="N185" i="2"/>
  <c r="N76" i="2" s="1"/>
  <c r="N326" i="1" s="1"/>
  <c r="N176" i="2"/>
  <c r="N67" i="2" s="1"/>
  <c r="N317" i="1" s="1"/>
  <c r="I183" i="17" s="1"/>
  <c r="K161" i="1"/>
  <c r="L238" i="1"/>
  <c r="M198" i="1"/>
  <c r="H125" i="17" s="1"/>
  <c r="M52" i="1"/>
  <c r="H49" i="17" s="1"/>
  <c r="K300" i="1"/>
  <c r="L163" i="1"/>
  <c r="G99" i="17" s="1"/>
  <c r="K303" i="1"/>
  <c r="F7" i="15"/>
  <c r="F8" i="15" s="1"/>
  <c r="N262" i="1"/>
  <c r="N288" i="1" s="1"/>
  <c r="I161" i="17" s="1"/>
  <c r="S264" i="1"/>
  <c r="P263" i="1"/>
  <c r="P289" i="1" s="1"/>
  <c r="K162" i="17" s="1"/>
  <c r="N277" i="1"/>
  <c r="N290" i="1" s="1"/>
  <c r="I163" i="17" s="1"/>
  <c r="M277" i="1"/>
  <c r="M290" i="1" s="1"/>
  <c r="H163" i="17" s="1"/>
  <c r="R277" i="1"/>
  <c r="R290" i="1" s="1"/>
  <c r="M163" i="17" s="1"/>
  <c r="O277" i="1"/>
  <c r="O290" i="1" s="1"/>
  <c r="J163" i="17" s="1"/>
  <c r="P277" i="1"/>
  <c r="P290" i="1" s="1"/>
  <c r="K163" i="17" s="1"/>
  <c r="Q277" i="1"/>
  <c r="Q290" i="1" s="1"/>
  <c r="L163" i="17" s="1"/>
  <c r="S277" i="1"/>
  <c r="L277" i="1"/>
  <c r="L285" i="1" s="1"/>
  <c r="P252" i="1"/>
  <c r="Q252" i="1"/>
  <c r="S252" i="1"/>
  <c r="M252" i="1"/>
  <c r="R252" i="1"/>
  <c r="N252" i="1"/>
  <c r="O252" i="1"/>
  <c r="M28" i="2"/>
  <c r="M236" i="1"/>
  <c r="M237" i="1"/>
  <c r="P12" i="1"/>
  <c r="F104" i="1"/>
  <c r="F99" i="1"/>
  <c r="N24" i="10"/>
  <c r="F190" i="2"/>
  <c r="F81" i="2" s="1"/>
  <c r="F192" i="2"/>
  <c r="F83" i="2" s="1"/>
  <c r="E8" i="15"/>
  <c r="G30" i="15"/>
  <c r="E30" i="15"/>
  <c r="F38" i="10"/>
  <c r="F37" i="10" s="1"/>
  <c r="F40" i="10" s="1"/>
  <c r="I4" i="15"/>
  <c r="I7" i="15" s="1"/>
  <c r="H5" i="15"/>
  <c r="J162" i="1"/>
  <c r="E98" i="17" s="1"/>
  <c r="K162" i="1"/>
  <c r="F98" i="17" s="1"/>
  <c r="J163" i="1"/>
  <c r="K163" i="1"/>
  <c r="F99" i="17" s="1"/>
  <c r="M24" i="10"/>
  <c r="N25" i="10"/>
  <c r="J134" i="1"/>
  <c r="J165" i="1"/>
  <c r="E101" i="17" s="1"/>
  <c r="M26" i="10"/>
  <c r="M114" i="1"/>
  <c r="J46" i="10" s="1"/>
  <c r="M25" i="10"/>
  <c r="H104" i="1"/>
  <c r="C14" i="17" s="1"/>
  <c r="P20" i="1"/>
  <c r="K33" i="10"/>
  <c r="Q3" i="10"/>
  <c r="G104" i="1"/>
  <c r="N10" i="10"/>
  <c r="N11" i="10" s="1"/>
  <c r="P16" i="1"/>
  <c r="M26" i="2"/>
  <c r="M30" i="2"/>
  <c r="M37" i="2"/>
  <c r="M213" i="1" s="1"/>
  <c r="O24" i="1"/>
  <c r="L33" i="1"/>
  <c r="P4" i="10"/>
  <c r="I50" i="2"/>
  <c r="N195" i="2"/>
  <c r="N86" i="2" s="1"/>
  <c r="N189" i="1" s="1"/>
  <c r="I118" i="17" s="1"/>
  <c r="N102" i="2"/>
  <c r="N138" i="1" s="1"/>
  <c r="L53" i="1"/>
  <c r="N165" i="2"/>
  <c r="N56" i="2" s="1"/>
  <c r="N101" i="1"/>
  <c r="N157" i="1" s="1"/>
  <c r="I93" i="17" s="1"/>
  <c r="E192" i="2"/>
  <c r="E190" i="2"/>
  <c r="G99" i="1"/>
  <c r="G192" i="2"/>
  <c r="G83" i="2" s="1"/>
  <c r="G190" i="2"/>
  <c r="G81" i="2" s="1"/>
  <c r="I192" i="2"/>
  <c r="I190" i="2"/>
  <c r="I81" i="2" s="1"/>
  <c r="H99" i="1"/>
  <c r="H192" i="2"/>
  <c r="H83" i="2" s="1"/>
  <c r="H190" i="2"/>
  <c r="H81" i="2" s="1"/>
  <c r="O144" i="2"/>
  <c r="N139" i="2"/>
  <c r="K53" i="10" s="1"/>
  <c r="N137" i="2"/>
  <c r="N236" i="1" s="1"/>
  <c r="P138" i="2"/>
  <c r="O29" i="2"/>
  <c r="J222" i="17" s="1"/>
  <c r="N135" i="2"/>
  <c r="O27" i="2"/>
  <c r="J221" i="17" s="1"/>
  <c r="N146" i="2"/>
  <c r="K54" i="10" s="1"/>
  <c r="N35" i="2"/>
  <c r="I225" i="17" s="1"/>
  <c r="J61" i="1"/>
  <c r="P8" i="1"/>
  <c r="S50" i="2"/>
  <c r="N217" i="17" s="1"/>
  <c r="Q50" i="2"/>
  <c r="L217" i="17" s="1"/>
  <c r="R50" i="2"/>
  <c r="M217" i="17" s="1"/>
  <c r="P50" i="2"/>
  <c r="K217" i="17" s="1"/>
  <c r="N25" i="1"/>
  <c r="N87" i="1"/>
  <c r="N69" i="1"/>
  <c r="N90" i="1"/>
  <c r="N84" i="1"/>
  <c r="N49" i="1"/>
  <c r="N46" i="1"/>
  <c r="N43" i="1"/>
  <c r="N40" i="1"/>
  <c r="N29" i="1"/>
  <c r="O50" i="2"/>
  <c r="J217" i="17" s="1"/>
  <c r="N50" i="2"/>
  <c r="I217" i="17" s="1"/>
  <c r="K50" i="2"/>
  <c r="F217" i="17" s="1"/>
  <c r="L50" i="2"/>
  <c r="G217" i="17" s="1"/>
  <c r="J50" i="2"/>
  <c r="E217" i="17" s="1"/>
  <c r="M50" i="2"/>
  <c r="H217" i="17" s="1"/>
  <c r="E99" i="1"/>
  <c r="I99" i="1"/>
  <c r="M32" i="1"/>
  <c r="H48" i="17" s="1"/>
  <c r="N10" i="1"/>
  <c r="L55" i="1"/>
  <c r="G50" i="17" s="1"/>
  <c r="K56" i="1"/>
  <c r="F7" i="17" s="1"/>
  <c r="N18" i="1"/>
  <c r="N22" i="1"/>
  <c r="N14" i="1"/>
  <c r="K134" i="1" l="1"/>
  <c r="H48" i="10"/>
  <c r="J304" i="1"/>
  <c r="I105" i="1"/>
  <c r="D14" i="17"/>
  <c r="K197" i="1"/>
  <c r="F151" i="17"/>
  <c r="N235" i="1"/>
  <c r="I148" i="17" s="1"/>
  <c r="K52" i="10"/>
  <c r="N16" i="10"/>
  <c r="N17" i="10" s="1"/>
  <c r="O37" i="1"/>
  <c r="L33" i="10"/>
  <c r="J306" i="1"/>
  <c r="J307" i="1" s="1"/>
  <c r="E174" i="17" s="1"/>
  <c r="J119" i="1"/>
  <c r="E67" i="17" s="1"/>
  <c r="K46" i="10"/>
  <c r="F63" i="17"/>
  <c r="C60" i="10"/>
  <c r="C57" i="10"/>
  <c r="C59" i="10"/>
  <c r="F28" i="17"/>
  <c r="K289" i="1"/>
  <c r="H74" i="17"/>
  <c r="F73" i="17"/>
  <c r="K165" i="1"/>
  <c r="F101" i="17" s="1"/>
  <c r="F23" i="17"/>
  <c r="F24" i="17" s="1"/>
  <c r="N26" i="10"/>
  <c r="N27" i="10" s="1"/>
  <c r="E99" i="17"/>
  <c r="F33" i="15"/>
  <c r="M128" i="1"/>
  <c r="J48" i="10" s="1"/>
  <c r="H185" i="17"/>
  <c r="N132" i="1"/>
  <c r="K43" i="10" s="1"/>
  <c r="I187" i="17"/>
  <c r="I189" i="17"/>
  <c r="L112" i="1"/>
  <c r="G179" i="17"/>
  <c r="L113" i="1"/>
  <c r="G181" i="17"/>
  <c r="M113" i="1"/>
  <c r="H181" i="17"/>
  <c r="E40" i="15"/>
  <c r="E239" i="17"/>
  <c r="S290" i="1"/>
  <c r="N163" i="17" s="1"/>
  <c r="M159" i="1"/>
  <c r="H95" i="17" s="1"/>
  <c r="M112" i="1"/>
  <c r="H179" i="17"/>
  <c r="L128" i="1"/>
  <c r="G185" i="17"/>
  <c r="E37" i="15"/>
  <c r="E238" i="17"/>
  <c r="F36" i="15"/>
  <c r="L300" i="1"/>
  <c r="L60" i="1" s="1"/>
  <c r="G51" i="17" s="1"/>
  <c r="M259" i="1"/>
  <c r="M199" i="1" s="1"/>
  <c r="H126" i="17" s="1"/>
  <c r="L290" i="1"/>
  <c r="L173" i="1"/>
  <c r="O16" i="10"/>
  <c r="O17" i="10" s="1"/>
  <c r="L172" i="1"/>
  <c r="G105" i="17" s="1"/>
  <c r="K200" i="1"/>
  <c r="F124" i="17"/>
  <c r="F136" i="17"/>
  <c r="G39" i="15"/>
  <c r="K207" i="1"/>
  <c r="F134" i="17" s="1"/>
  <c r="E137" i="17"/>
  <c r="L202" i="1"/>
  <c r="F132" i="17"/>
  <c r="M208" i="1"/>
  <c r="H135" i="17" s="1"/>
  <c r="H150" i="17"/>
  <c r="L239" i="1"/>
  <c r="G152" i="17" s="1"/>
  <c r="G151" i="17"/>
  <c r="K215" i="1"/>
  <c r="F139" i="17"/>
  <c r="N203" i="1"/>
  <c r="I130" i="17" s="1"/>
  <c r="I149" i="17"/>
  <c r="I80" i="17"/>
  <c r="J120" i="1"/>
  <c r="E68" i="17" s="1"/>
  <c r="M203" i="1"/>
  <c r="H130" i="17" s="1"/>
  <c r="H149" i="17"/>
  <c r="M174" i="1"/>
  <c r="H107" i="17" s="1"/>
  <c r="H140" i="17"/>
  <c r="C10" i="17"/>
  <c r="G6" i="17"/>
  <c r="E77" i="17"/>
  <c r="H79" i="17"/>
  <c r="N173" i="2"/>
  <c r="N64" i="2" s="1"/>
  <c r="N314" i="1" s="1"/>
  <c r="I181" i="17" s="1"/>
  <c r="I47" i="17"/>
  <c r="N179" i="2"/>
  <c r="N70" i="2" s="1"/>
  <c r="N320" i="1" s="1"/>
  <c r="O331" i="1"/>
  <c r="J195" i="17" s="1"/>
  <c r="J46" i="17"/>
  <c r="H65" i="17"/>
  <c r="D59" i="10"/>
  <c r="F25" i="15"/>
  <c r="F97" i="17"/>
  <c r="D60" i="10"/>
  <c r="F77" i="17"/>
  <c r="E24" i="15"/>
  <c r="E235" i="17" s="1"/>
  <c r="E95" i="17"/>
  <c r="F24" i="15"/>
  <c r="F235" i="17" s="1"/>
  <c r="F95" i="17"/>
  <c r="J64" i="1"/>
  <c r="E52" i="17"/>
  <c r="D10" i="17"/>
  <c r="G24" i="15"/>
  <c r="G235" i="17" s="1"/>
  <c r="G95" i="17"/>
  <c r="D62" i="10"/>
  <c r="D63" i="10"/>
  <c r="F56" i="10"/>
  <c r="F57" i="10" s="1"/>
  <c r="M166" i="1"/>
  <c r="H102" i="17" s="1"/>
  <c r="N166" i="1"/>
  <c r="O170" i="2"/>
  <c r="O61" i="2" s="1"/>
  <c r="O311" i="1" s="1"/>
  <c r="J179" i="17" s="1"/>
  <c r="O185" i="2"/>
  <c r="O76" i="2" s="1"/>
  <c r="O326" i="1" s="1"/>
  <c r="O176" i="2"/>
  <c r="O67" i="2" s="1"/>
  <c r="O317" i="1" s="1"/>
  <c r="J183" i="17" s="1"/>
  <c r="O182" i="2"/>
  <c r="O73" i="2" s="1"/>
  <c r="O323" i="1" s="1"/>
  <c r="O129" i="1" s="1"/>
  <c r="L49" i="10" s="1"/>
  <c r="J66" i="1"/>
  <c r="K301" i="1"/>
  <c r="K306" i="1"/>
  <c r="J18" i="15"/>
  <c r="N18" i="15"/>
  <c r="H18" i="15"/>
  <c r="E18" i="15"/>
  <c r="G18" i="15"/>
  <c r="K18" i="15"/>
  <c r="F18" i="15"/>
  <c r="M18" i="15"/>
  <c r="I18" i="15"/>
  <c r="L18" i="15"/>
  <c r="N198" i="1"/>
  <c r="I125" i="17" s="1"/>
  <c r="M238" i="1"/>
  <c r="J4" i="15"/>
  <c r="J7" i="15" s="1"/>
  <c r="N52" i="1"/>
  <c r="I49" i="17" s="1"/>
  <c r="K60" i="1"/>
  <c r="G27" i="15"/>
  <c r="L301" i="1"/>
  <c r="L303" i="1"/>
  <c r="L209" i="1"/>
  <c r="G136" i="17" s="1"/>
  <c r="K304" i="1"/>
  <c r="K63" i="1"/>
  <c r="N272" i="1"/>
  <c r="N204" i="1" s="1"/>
  <c r="I131" i="17" s="1"/>
  <c r="O262" i="1"/>
  <c r="O288" i="1" s="1"/>
  <c r="J161" i="17" s="1"/>
  <c r="O278" i="1"/>
  <c r="O291" i="1" s="1"/>
  <c r="J164" i="17" s="1"/>
  <c r="R278" i="1"/>
  <c r="R291" i="1" s="1"/>
  <c r="M164" i="17" s="1"/>
  <c r="P278" i="1"/>
  <c r="P291" i="1" s="1"/>
  <c r="K164" i="17" s="1"/>
  <c r="Q278" i="1"/>
  <c r="Q291" i="1" s="1"/>
  <c r="L164" i="17" s="1"/>
  <c r="S278" i="1"/>
  <c r="S291" i="1" s="1"/>
  <c r="N164" i="17" s="1"/>
  <c r="M278" i="1"/>
  <c r="M285" i="1" s="1"/>
  <c r="N278" i="1"/>
  <c r="N291" i="1" s="1"/>
  <c r="I164" i="17" s="1"/>
  <c r="F105" i="1"/>
  <c r="Q263" i="1"/>
  <c r="O253" i="1"/>
  <c r="P253" i="1"/>
  <c r="Q253" i="1"/>
  <c r="R253" i="1"/>
  <c r="S253" i="1"/>
  <c r="N253" i="1"/>
  <c r="N237" i="1"/>
  <c r="Q12" i="1"/>
  <c r="I5" i="15"/>
  <c r="F26" i="15"/>
  <c r="F27" i="15"/>
  <c r="E29" i="15"/>
  <c r="E26" i="15"/>
  <c r="C62" i="10"/>
  <c r="C63" i="10"/>
  <c r="E59" i="10"/>
  <c r="E57" i="10"/>
  <c r="O10" i="10"/>
  <c r="O11" i="10" s="1"/>
  <c r="G7" i="15"/>
  <c r="F29" i="15"/>
  <c r="E27" i="15"/>
  <c r="M27" i="10"/>
  <c r="M163" i="1"/>
  <c r="H99" i="17" s="1"/>
  <c r="N112" i="1"/>
  <c r="N114" i="1"/>
  <c r="Q16" i="1"/>
  <c r="Q20" i="1"/>
  <c r="O139" i="2"/>
  <c r="L53" i="10" s="1"/>
  <c r="R3" i="10"/>
  <c r="E105" i="1"/>
  <c r="H105" i="1"/>
  <c r="G105" i="1"/>
  <c r="M33" i="1"/>
  <c r="P7" i="10"/>
  <c r="P8" i="10" s="1"/>
  <c r="N28" i="2"/>
  <c r="N30" i="2"/>
  <c r="N26" i="2"/>
  <c r="O195" i="2"/>
  <c r="O86" i="2" s="1"/>
  <c r="O189" i="1" s="1"/>
  <c r="J118" i="17" s="1"/>
  <c r="N37" i="2"/>
  <c r="N213" i="1" s="1"/>
  <c r="P144" i="2"/>
  <c r="P146" i="2" s="1"/>
  <c r="M54" i="10" s="1"/>
  <c r="O29" i="1"/>
  <c r="O22" i="1"/>
  <c r="O87" i="1"/>
  <c r="O18" i="1"/>
  <c r="O101" i="1"/>
  <c r="O157" i="1" s="1"/>
  <c r="J93" i="17" s="1"/>
  <c r="O135" i="2"/>
  <c r="O165" i="2"/>
  <c r="O56" i="2" s="1"/>
  <c r="O49" i="1"/>
  <c r="O69" i="1"/>
  <c r="O46" i="1"/>
  <c r="O137" i="2"/>
  <c r="O10" i="1"/>
  <c r="O40" i="1"/>
  <c r="P24" i="1"/>
  <c r="O90" i="1"/>
  <c r="O43" i="1"/>
  <c r="O25" i="1"/>
  <c r="O84" i="1"/>
  <c r="O14" i="1"/>
  <c r="Q4" i="10"/>
  <c r="E83" i="2"/>
  <c r="J192" i="2"/>
  <c r="O102" i="2"/>
  <c r="O138" i="1" s="1"/>
  <c r="M53" i="1"/>
  <c r="E81" i="2"/>
  <c r="L81" i="2"/>
  <c r="Q81" i="2"/>
  <c r="K81" i="2"/>
  <c r="M81" i="2"/>
  <c r="O81" i="2"/>
  <c r="J81" i="2"/>
  <c r="N81" i="2"/>
  <c r="S81" i="2"/>
  <c r="P81" i="2"/>
  <c r="R81" i="2"/>
  <c r="Q138" i="2"/>
  <c r="R138" i="2" s="1"/>
  <c r="P29" i="2"/>
  <c r="K222" i="17" s="1"/>
  <c r="P27" i="2"/>
  <c r="K221" i="17" s="1"/>
  <c r="O146" i="2"/>
  <c r="L54" i="10" s="1"/>
  <c r="O35" i="2"/>
  <c r="J225" i="17" s="1"/>
  <c r="Q8" i="1"/>
  <c r="N32" i="1"/>
  <c r="I48" i="17" s="1"/>
  <c r="L56" i="1"/>
  <c r="G7" i="17" s="1"/>
  <c r="M55" i="1"/>
  <c r="H50" i="17" s="1"/>
  <c r="H63" i="17" l="1"/>
  <c r="K44" i="10"/>
  <c r="I65" i="17"/>
  <c r="H22" i="17"/>
  <c r="J45" i="10"/>
  <c r="I45" i="10"/>
  <c r="E173" i="17"/>
  <c r="E10" i="15"/>
  <c r="E12" i="15" s="1"/>
  <c r="G42" i="10"/>
  <c r="O25" i="10"/>
  <c r="J44" i="10"/>
  <c r="P37" i="1"/>
  <c r="M33" i="10"/>
  <c r="O235" i="1"/>
  <c r="J148" i="17" s="1"/>
  <c r="L52" i="10"/>
  <c r="L165" i="1"/>
  <c r="G101" i="17" s="1"/>
  <c r="I48" i="10"/>
  <c r="I44" i="10"/>
  <c r="I74" i="17"/>
  <c r="N159" i="1"/>
  <c r="I95" i="17" s="1"/>
  <c r="F162" i="17"/>
  <c r="K298" i="1"/>
  <c r="F171" i="17" s="1"/>
  <c r="H23" i="17"/>
  <c r="J124" i="1"/>
  <c r="E71" i="17" s="1"/>
  <c r="H24" i="15"/>
  <c r="H235" i="17" s="1"/>
  <c r="M165" i="1"/>
  <c r="H101" i="17" s="1"/>
  <c r="M134" i="1"/>
  <c r="H77" i="17" s="1"/>
  <c r="H73" i="17"/>
  <c r="G29" i="15"/>
  <c r="P26" i="10"/>
  <c r="E236" i="17"/>
  <c r="G28" i="17"/>
  <c r="G21" i="17"/>
  <c r="G63" i="17"/>
  <c r="M161" i="1"/>
  <c r="H97" i="17" s="1"/>
  <c r="L161" i="1"/>
  <c r="G97" i="17" s="1"/>
  <c r="H21" i="17"/>
  <c r="P25" i="10"/>
  <c r="F236" i="17"/>
  <c r="F37" i="15"/>
  <c r="F238" i="17"/>
  <c r="L298" i="1"/>
  <c r="G171" i="17" s="1"/>
  <c r="G163" i="17"/>
  <c r="M162" i="1"/>
  <c r="H26" i="15" s="1"/>
  <c r="G64" i="17"/>
  <c r="G40" i="15"/>
  <c r="G239" i="17"/>
  <c r="L162" i="1"/>
  <c r="G98" i="17" s="1"/>
  <c r="N128" i="1"/>
  <c r="I185" i="17"/>
  <c r="L134" i="1"/>
  <c r="G77" i="17" s="1"/>
  <c r="H26" i="17"/>
  <c r="G22" i="17"/>
  <c r="O132" i="1"/>
  <c r="J187" i="17"/>
  <c r="J189" i="17"/>
  <c r="H64" i="17"/>
  <c r="P24" i="10"/>
  <c r="G73" i="17"/>
  <c r="O26" i="10"/>
  <c r="G23" i="17"/>
  <c r="H28" i="17"/>
  <c r="F34" i="15"/>
  <c r="F237" i="17"/>
  <c r="G26" i="17"/>
  <c r="K307" i="1"/>
  <c r="F174" i="17" s="1"/>
  <c r="F173" i="17"/>
  <c r="O24" i="10"/>
  <c r="M300" i="1"/>
  <c r="M60" i="1" s="1"/>
  <c r="H51" i="17" s="1"/>
  <c r="G36" i="15"/>
  <c r="G106" i="17"/>
  <c r="M291" i="1"/>
  <c r="N259" i="1"/>
  <c r="N199" i="1" s="1"/>
  <c r="I126" i="17" s="1"/>
  <c r="R263" i="1"/>
  <c r="R289" i="1" s="1"/>
  <c r="M162" i="17" s="1"/>
  <c r="Q289" i="1"/>
  <c r="L162" i="17" s="1"/>
  <c r="L306" i="1"/>
  <c r="H39" i="15"/>
  <c r="F60" i="10"/>
  <c r="M172" i="1"/>
  <c r="H105" i="17" s="1"/>
  <c r="M173" i="1"/>
  <c r="H106" i="17" s="1"/>
  <c r="G33" i="15"/>
  <c r="J80" i="17"/>
  <c r="L212" i="1"/>
  <c r="F142" i="17"/>
  <c r="M239" i="1"/>
  <c r="H152" i="17" s="1"/>
  <c r="H151" i="17"/>
  <c r="N174" i="1"/>
  <c r="I39" i="15" s="1"/>
  <c r="I140" i="17"/>
  <c r="K210" i="1"/>
  <c r="N208" i="1"/>
  <c r="I135" i="17" s="1"/>
  <c r="I150" i="17"/>
  <c r="G129" i="17"/>
  <c r="L205" i="1"/>
  <c r="P16" i="10"/>
  <c r="P17" i="10" s="1"/>
  <c r="F59" i="10"/>
  <c r="F127" i="17"/>
  <c r="K119" i="1"/>
  <c r="F67" i="17" s="1"/>
  <c r="L197" i="1"/>
  <c r="O166" i="1"/>
  <c r="K64" i="1"/>
  <c r="F52" i="17"/>
  <c r="P331" i="1"/>
  <c r="K195" i="17" s="1"/>
  <c r="K46" i="17"/>
  <c r="I24" i="15"/>
  <c r="I235" i="17" s="1"/>
  <c r="I63" i="17"/>
  <c r="I28" i="17"/>
  <c r="I21" i="17"/>
  <c r="O173" i="2"/>
  <c r="O64" i="2" s="1"/>
  <c r="O314" i="1" s="1"/>
  <c r="J47" i="17"/>
  <c r="O179" i="2"/>
  <c r="O70" i="2" s="1"/>
  <c r="O320" i="1" s="1"/>
  <c r="H6" i="17"/>
  <c r="I30" i="15"/>
  <c r="I102" i="17"/>
  <c r="K61" i="1"/>
  <c r="F51" i="17"/>
  <c r="I79" i="17"/>
  <c r="F62" i="10"/>
  <c r="F63" i="10"/>
  <c r="H30" i="15"/>
  <c r="P170" i="2"/>
  <c r="P61" i="2" s="1"/>
  <c r="P311" i="1" s="1"/>
  <c r="K179" i="17" s="1"/>
  <c r="P185" i="2"/>
  <c r="P76" i="2" s="1"/>
  <c r="P326" i="1" s="1"/>
  <c r="P182" i="2"/>
  <c r="P73" i="2" s="1"/>
  <c r="P323" i="1" s="1"/>
  <c r="P129" i="1" s="1"/>
  <c r="M49" i="10" s="1"/>
  <c r="P176" i="2"/>
  <c r="P67" i="2" s="1"/>
  <c r="P317" i="1" s="1"/>
  <c r="K183" i="17" s="1"/>
  <c r="J158" i="1"/>
  <c r="J72" i="1"/>
  <c r="N161" i="1"/>
  <c r="I97" i="17" s="1"/>
  <c r="O52" i="1"/>
  <c r="J49" i="17" s="1"/>
  <c r="O198" i="1"/>
  <c r="J125" i="17" s="1"/>
  <c r="N238" i="1"/>
  <c r="K66" i="1"/>
  <c r="M303" i="1"/>
  <c r="M209" i="1"/>
  <c r="H136" i="17" s="1"/>
  <c r="L304" i="1"/>
  <c r="L63" i="1"/>
  <c r="H7" i="15"/>
  <c r="H8" i="15" s="1"/>
  <c r="O272" i="1"/>
  <c r="O204" i="1" s="1"/>
  <c r="J131" i="17" s="1"/>
  <c r="P262" i="1"/>
  <c r="P288" i="1" s="1"/>
  <c r="K161" i="17" s="1"/>
  <c r="R279" i="1"/>
  <c r="R292" i="1" s="1"/>
  <c r="M165" i="17" s="1"/>
  <c r="O279" i="1"/>
  <c r="O292" i="1" s="1"/>
  <c r="J165" i="17" s="1"/>
  <c r="P279" i="1"/>
  <c r="P292" i="1" s="1"/>
  <c r="K165" i="17" s="1"/>
  <c r="S279" i="1"/>
  <c r="S292" i="1" s="1"/>
  <c r="N165" i="17" s="1"/>
  <c r="N279" i="1"/>
  <c r="N285" i="1" s="1"/>
  <c r="Q279" i="1"/>
  <c r="Q292" i="1" s="1"/>
  <c r="L165" i="17" s="1"/>
  <c r="O254" i="1"/>
  <c r="R254" i="1"/>
  <c r="S254" i="1"/>
  <c r="P254" i="1"/>
  <c r="Q254" i="1"/>
  <c r="O28" i="2"/>
  <c r="O236" i="1"/>
  <c r="O30" i="2"/>
  <c r="O237" i="1"/>
  <c r="R12" i="1"/>
  <c r="N134" i="1"/>
  <c r="H27" i="15"/>
  <c r="E62" i="10"/>
  <c r="E63" i="10"/>
  <c r="G8" i="15"/>
  <c r="J5" i="15"/>
  <c r="K4" i="15"/>
  <c r="K7" i="15" s="1"/>
  <c r="R16" i="1"/>
  <c r="O112" i="1"/>
  <c r="N163" i="1"/>
  <c r="I99" i="17" s="1"/>
  <c r="N113" i="1"/>
  <c r="Q25" i="10"/>
  <c r="O114" i="1"/>
  <c r="L46" i="10" s="1"/>
  <c r="P35" i="2"/>
  <c r="K225" i="17" s="1"/>
  <c r="R20" i="1"/>
  <c r="Q7" i="10"/>
  <c r="Q8" i="10" s="1"/>
  <c r="Q144" i="2"/>
  <c r="Q35" i="2" s="1"/>
  <c r="L225" i="17" s="1"/>
  <c r="S3" i="10"/>
  <c r="M56" i="1"/>
  <c r="H7" i="17" s="1"/>
  <c r="P10" i="10"/>
  <c r="P11" i="10" s="1"/>
  <c r="N172" i="1"/>
  <c r="I105" i="17" s="1"/>
  <c r="O32" i="1"/>
  <c r="J48" i="17" s="1"/>
  <c r="O26" i="2"/>
  <c r="O37" i="2"/>
  <c r="O213" i="1" s="1"/>
  <c r="J140" i="17" s="1"/>
  <c r="P37" i="2"/>
  <c r="P213" i="1" s="1"/>
  <c r="P135" i="2"/>
  <c r="P139" i="2"/>
  <c r="P49" i="1"/>
  <c r="P137" i="2"/>
  <c r="P25" i="1"/>
  <c r="P18" i="1"/>
  <c r="P40" i="1"/>
  <c r="P29" i="1"/>
  <c r="P14" i="1"/>
  <c r="P69" i="1"/>
  <c r="P84" i="1"/>
  <c r="P101" i="1"/>
  <c r="P157" i="1" s="1"/>
  <c r="K93" i="17" s="1"/>
  <c r="P165" i="2"/>
  <c r="P56" i="2" s="1"/>
  <c r="P43" i="1"/>
  <c r="P22" i="1"/>
  <c r="R4" i="10"/>
  <c r="R8" i="1"/>
  <c r="P46" i="1"/>
  <c r="P87" i="1"/>
  <c r="P10" i="1"/>
  <c r="P195" i="2"/>
  <c r="P86" i="2" s="1"/>
  <c r="P189" i="1" s="1"/>
  <c r="K118" i="17" s="1"/>
  <c r="P90" i="1"/>
  <c r="P102" i="2"/>
  <c r="P138" i="1" s="1"/>
  <c r="N53" i="1"/>
  <c r="Q27" i="2"/>
  <c r="L221" i="17" s="1"/>
  <c r="Q29" i="2"/>
  <c r="L222" i="17" s="1"/>
  <c r="Q24" i="1"/>
  <c r="Q37" i="1" s="1"/>
  <c r="J67" i="1"/>
  <c r="N33" i="1"/>
  <c r="N55" i="1"/>
  <c r="I50" i="17" s="1"/>
  <c r="O159" i="1" l="1"/>
  <c r="J95" i="17" s="1"/>
  <c r="L43" i="10"/>
  <c r="P237" i="1"/>
  <c r="M53" i="10"/>
  <c r="K45" i="10"/>
  <c r="J21" i="17"/>
  <c r="K67" i="1"/>
  <c r="H42" i="10"/>
  <c r="Q26" i="10"/>
  <c r="K48" i="10"/>
  <c r="J65" i="17"/>
  <c r="M46" i="10"/>
  <c r="P235" i="1"/>
  <c r="K148" i="17" s="1"/>
  <c r="M52" i="10"/>
  <c r="L44" i="10"/>
  <c r="H24" i="17"/>
  <c r="J74" i="17"/>
  <c r="J24" i="15"/>
  <c r="J235" i="17" s="1"/>
  <c r="H29" i="15"/>
  <c r="H33" i="15"/>
  <c r="N300" i="1"/>
  <c r="N301" i="1" s="1"/>
  <c r="H25" i="15"/>
  <c r="H236" i="17" s="1"/>
  <c r="O27" i="10"/>
  <c r="G24" i="17"/>
  <c r="N165" i="1"/>
  <c r="I101" i="17" s="1"/>
  <c r="I73" i="17"/>
  <c r="P27" i="10"/>
  <c r="H98" i="17"/>
  <c r="G26" i="15"/>
  <c r="G25" i="15"/>
  <c r="O128" i="1"/>
  <c r="J185" i="17"/>
  <c r="H40" i="15"/>
  <c r="H239" i="17"/>
  <c r="O113" i="1"/>
  <c r="J181" i="17"/>
  <c r="I40" i="15"/>
  <c r="I239" i="17"/>
  <c r="L307" i="1"/>
  <c r="G174" i="17" s="1"/>
  <c r="G173" i="17"/>
  <c r="H34" i="15"/>
  <c r="H237" i="17"/>
  <c r="I23" i="17"/>
  <c r="N292" i="1"/>
  <c r="G34" i="15"/>
  <c r="G237" i="17"/>
  <c r="M298" i="1"/>
  <c r="H171" i="17" s="1"/>
  <c r="H164" i="17"/>
  <c r="P132" i="1"/>
  <c r="K189" i="17"/>
  <c r="K187" i="17"/>
  <c r="M301" i="1"/>
  <c r="M306" i="1"/>
  <c r="G37" i="15"/>
  <c r="G238" i="17"/>
  <c r="S263" i="1"/>
  <c r="S289" i="1" s="1"/>
  <c r="N162" i="17" s="1"/>
  <c r="O259" i="1"/>
  <c r="O199" i="1" s="1"/>
  <c r="J126" i="17" s="1"/>
  <c r="H36" i="15"/>
  <c r="Q16" i="10"/>
  <c r="Q17" i="10" s="1"/>
  <c r="I107" i="17"/>
  <c r="N239" i="1"/>
  <c r="I152" i="17" s="1"/>
  <c r="I151" i="17"/>
  <c r="F137" i="17"/>
  <c r="K120" i="1"/>
  <c r="L207" i="1"/>
  <c r="O203" i="1"/>
  <c r="J130" i="17" s="1"/>
  <c r="J149" i="17"/>
  <c r="N173" i="1"/>
  <c r="I36" i="15" s="1"/>
  <c r="K80" i="17"/>
  <c r="M202" i="1"/>
  <c r="G132" i="17"/>
  <c r="P208" i="1"/>
  <c r="K135" i="17" s="1"/>
  <c r="K150" i="17"/>
  <c r="L200" i="1"/>
  <c r="G124" i="17"/>
  <c r="G139" i="17"/>
  <c r="L215" i="1"/>
  <c r="O208" i="1"/>
  <c r="J135" i="17" s="1"/>
  <c r="J150" i="17"/>
  <c r="P174" i="1"/>
  <c r="K107" i="17" s="1"/>
  <c r="K140" i="17"/>
  <c r="I22" i="17"/>
  <c r="I64" i="17"/>
  <c r="I26" i="17"/>
  <c r="P173" i="2"/>
  <c r="P64" i="2" s="1"/>
  <c r="P314" i="1" s="1"/>
  <c r="K47" i="17"/>
  <c r="P179" i="2"/>
  <c r="P70" i="2" s="1"/>
  <c r="P320" i="1" s="1"/>
  <c r="I77" i="17"/>
  <c r="J63" i="17"/>
  <c r="J28" i="17"/>
  <c r="I29" i="15"/>
  <c r="J79" i="17"/>
  <c r="E14" i="15"/>
  <c r="E231" i="17" s="1"/>
  <c r="E34" i="17"/>
  <c r="E53" i="17"/>
  <c r="E23" i="15"/>
  <c r="E234" i="17" s="1"/>
  <c r="E94" i="17"/>
  <c r="I6" i="17"/>
  <c r="Q331" i="1"/>
  <c r="L195" i="17" s="1"/>
  <c r="L46" i="17"/>
  <c r="L64" i="1"/>
  <c r="G52" i="17"/>
  <c r="J30" i="15"/>
  <c r="J102" i="17"/>
  <c r="K79" i="17"/>
  <c r="Q170" i="2"/>
  <c r="Q61" i="2" s="1"/>
  <c r="Q311" i="1" s="1"/>
  <c r="L179" i="17" s="1"/>
  <c r="Q185" i="2"/>
  <c r="Q182" i="2"/>
  <c r="Q176" i="2"/>
  <c r="Q67" i="2" s="1"/>
  <c r="Q317" i="1" s="1"/>
  <c r="L183" i="17" s="1"/>
  <c r="G35" i="10"/>
  <c r="P52" i="1"/>
  <c r="R25" i="10"/>
  <c r="O161" i="1"/>
  <c r="J97" i="17" s="1"/>
  <c r="O238" i="1"/>
  <c r="F10" i="15"/>
  <c r="F12" i="15" s="1"/>
  <c r="K72" i="1"/>
  <c r="K158" i="1"/>
  <c r="F94" i="17" s="1"/>
  <c r="N303" i="1"/>
  <c r="N209" i="1"/>
  <c r="I136" i="17" s="1"/>
  <c r="M304" i="1"/>
  <c r="M63" i="1"/>
  <c r="P272" i="1"/>
  <c r="P204" i="1" s="1"/>
  <c r="K131" i="17" s="1"/>
  <c r="Q262" i="1"/>
  <c r="Q281" i="1"/>
  <c r="S281" i="1"/>
  <c r="R281" i="1"/>
  <c r="P281" i="1"/>
  <c r="R280" i="1"/>
  <c r="R293" i="1" s="1"/>
  <c r="M166" i="17" s="1"/>
  <c r="O280" i="1"/>
  <c r="O285" i="1" s="1"/>
  <c r="P280" i="1"/>
  <c r="P293" i="1" s="1"/>
  <c r="K166" i="17" s="1"/>
  <c r="Q280" i="1"/>
  <c r="Q293" i="1" s="1"/>
  <c r="L166" i="17" s="1"/>
  <c r="S280" i="1"/>
  <c r="S293" i="1" s="1"/>
  <c r="N166" i="17" s="1"/>
  <c r="P28" i="2"/>
  <c r="P236" i="1"/>
  <c r="S16" i="1"/>
  <c r="S12" i="1"/>
  <c r="O55" i="1"/>
  <c r="I27" i="15"/>
  <c r="L4" i="15"/>
  <c r="L7" i="15" s="1"/>
  <c r="I33" i="15"/>
  <c r="I25" i="15"/>
  <c r="K5" i="15"/>
  <c r="P166" i="1"/>
  <c r="K102" i="17" s="1"/>
  <c r="Q24" i="10"/>
  <c r="Q27" i="10" s="1"/>
  <c r="N162" i="1"/>
  <c r="I98" i="17" s="1"/>
  <c r="P112" i="1"/>
  <c r="M44" i="10" s="1"/>
  <c r="O163" i="1"/>
  <c r="J99" i="17" s="1"/>
  <c r="P114" i="1"/>
  <c r="Q146" i="2"/>
  <c r="Q37" i="2" s="1"/>
  <c r="Q213" i="1" s="1"/>
  <c r="T3" i="10"/>
  <c r="O33" i="1"/>
  <c r="R7" i="10"/>
  <c r="R8" i="10" s="1"/>
  <c r="S20" i="1"/>
  <c r="N56" i="1"/>
  <c r="I7" i="17" s="1"/>
  <c r="Q10" i="10"/>
  <c r="Q11" i="10" s="1"/>
  <c r="P30" i="2"/>
  <c r="P26" i="2"/>
  <c r="O174" i="1"/>
  <c r="J107" i="17" s="1"/>
  <c r="S4" i="10"/>
  <c r="O53" i="1"/>
  <c r="P32" i="1"/>
  <c r="K48" i="17" s="1"/>
  <c r="S8" i="1"/>
  <c r="R24" i="1"/>
  <c r="R37" i="1" s="1"/>
  <c r="R144" i="2"/>
  <c r="Q195" i="2"/>
  <c r="Q86" i="2" s="1"/>
  <c r="Q189" i="1" s="1"/>
  <c r="L118" i="17" s="1"/>
  <c r="R102" i="2"/>
  <c r="R138" i="1" s="1"/>
  <c r="M80" i="17" s="1"/>
  <c r="Q102" i="2"/>
  <c r="Q138" i="1" s="1"/>
  <c r="Q165" i="2"/>
  <c r="Q56" i="2" s="1"/>
  <c r="Q101" i="1"/>
  <c r="Q157" i="1" s="1"/>
  <c r="L93" i="17" s="1"/>
  <c r="Q139" i="2"/>
  <c r="Q237" i="1" s="1"/>
  <c r="Q137" i="2"/>
  <c r="Q135" i="2"/>
  <c r="Q235" i="1" s="1"/>
  <c r="L148" i="17" s="1"/>
  <c r="R29" i="2"/>
  <c r="M222" i="17" s="1"/>
  <c r="R27" i="2"/>
  <c r="M221" i="17" s="1"/>
  <c r="L66" i="1"/>
  <c r="L61" i="1"/>
  <c r="M61" i="1"/>
  <c r="Q84" i="1"/>
  <c r="Q22" i="1"/>
  <c r="Q18" i="1"/>
  <c r="Q69" i="1"/>
  <c r="Q40" i="1"/>
  <c r="Q49" i="1"/>
  <c r="Q25" i="1"/>
  <c r="Q87" i="1"/>
  <c r="Q43" i="1"/>
  <c r="Q46" i="1"/>
  <c r="Q29" i="1"/>
  <c r="Q10" i="1"/>
  <c r="Q90" i="1"/>
  <c r="Q14" i="1"/>
  <c r="J73" i="1"/>
  <c r="E8" i="17" s="1"/>
  <c r="P255" i="1" l="1"/>
  <c r="S255" i="1"/>
  <c r="R255" i="1"/>
  <c r="Q255" i="1"/>
  <c r="L72" i="1"/>
  <c r="I42" i="10"/>
  <c r="J22" i="17"/>
  <c r="J24" i="17" s="1"/>
  <c r="L45" i="10"/>
  <c r="P159" i="1"/>
  <c r="K24" i="15" s="1"/>
  <c r="K235" i="17" s="1"/>
  <c r="M43" i="10"/>
  <c r="P198" i="1"/>
  <c r="K125" i="17" s="1"/>
  <c r="J23" i="17"/>
  <c r="L48" i="10"/>
  <c r="N306" i="1"/>
  <c r="N307" i="1" s="1"/>
  <c r="I174" i="17" s="1"/>
  <c r="N60" i="1"/>
  <c r="J73" i="17"/>
  <c r="G236" i="17"/>
  <c r="O165" i="1"/>
  <c r="J101" i="17" s="1"/>
  <c r="R24" i="10"/>
  <c r="O173" i="1"/>
  <c r="J106" i="17" s="1"/>
  <c r="O134" i="1"/>
  <c r="J26" i="17"/>
  <c r="K74" i="17"/>
  <c r="R26" i="10"/>
  <c r="R27" i="10" s="1"/>
  <c r="O162" i="1"/>
  <c r="J98" i="17" s="1"/>
  <c r="J64" i="17"/>
  <c r="N298" i="1"/>
  <c r="I171" i="17" s="1"/>
  <c r="I165" i="17"/>
  <c r="P113" i="1"/>
  <c r="K26" i="17" s="1"/>
  <c r="K181" i="17"/>
  <c r="I37" i="15"/>
  <c r="I238" i="17"/>
  <c r="P128" i="1"/>
  <c r="K185" i="17"/>
  <c r="I24" i="17"/>
  <c r="M307" i="1"/>
  <c r="H174" i="17" s="1"/>
  <c r="H173" i="17"/>
  <c r="I34" i="15"/>
  <c r="I237" i="17"/>
  <c r="R294" i="1"/>
  <c r="M167" i="17" s="1"/>
  <c r="K95" i="17"/>
  <c r="Q294" i="1"/>
  <c r="L167" i="17" s="1"/>
  <c r="H37" i="15"/>
  <c r="H238" i="17"/>
  <c r="O300" i="1"/>
  <c r="O301" i="1" s="1"/>
  <c r="O293" i="1"/>
  <c r="P259" i="1"/>
  <c r="P199" i="1" s="1"/>
  <c r="K126" i="17" s="1"/>
  <c r="P294" i="1"/>
  <c r="Q272" i="1"/>
  <c r="Q204" i="1" s="1"/>
  <c r="L131" i="17" s="1"/>
  <c r="Q288" i="1"/>
  <c r="L161" i="17" s="1"/>
  <c r="S294" i="1"/>
  <c r="N167" i="17" s="1"/>
  <c r="O172" i="1"/>
  <c r="J105" i="17" s="1"/>
  <c r="K39" i="15"/>
  <c r="Q208" i="1"/>
  <c r="L135" i="17" s="1"/>
  <c r="L150" i="17"/>
  <c r="H129" i="17"/>
  <c r="M205" i="1"/>
  <c r="O239" i="1"/>
  <c r="J152" i="17" s="1"/>
  <c r="J151" i="17"/>
  <c r="P173" i="1"/>
  <c r="K106" i="17" s="1"/>
  <c r="G134" i="17"/>
  <c r="L210" i="1"/>
  <c r="Q174" i="1"/>
  <c r="L140" i="17"/>
  <c r="K124" i="1"/>
  <c r="F71" i="17" s="1"/>
  <c r="F68" i="17"/>
  <c r="R16" i="10"/>
  <c r="R17" i="10" s="1"/>
  <c r="I106" i="17"/>
  <c r="M212" i="1"/>
  <c r="G142" i="17"/>
  <c r="G127" i="17"/>
  <c r="L119" i="1"/>
  <c r="G67" i="17" s="1"/>
  <c r="M197" i="1"/>
  <c r="L80" i="17"/>
  <c r="P203" i="1"/>
  <c r="K130" i="17" s="1"/>
  <c r="K149" i="17"/>
  <c r="R331" i="1"/>
  <c r="M195" i="17" s="1"/>
  <c r="M46" i="17"/>
  <c r="J6" i="17"/>
  <c r="F53" i="17"/>
  <c r="P161" i="1"/>
  <c r="K97" i="17" s="1"/>
  <c r="K63" i="17"/>
  <c r="K28" i="17"/>
  <c r="J77" i="17"/>
  <c r="K21" i="17"/>
  <c r="P53" i="1"/>
  <c r="K49" i="17"/>
  <c r="P163" i="1"/>
  <c r="K65" i="17"/>
  <c r="J50" i="17"/>
  <c r="N61" i="1"/>
  <c r="I51" i="17"/>
  <c r="G53" i="17"/>
  <c r="L47" i="17"/>
  <c r="Q179" i="2"/>
  <c r="Q70" i="2" s="1"/>
  <c r="Q320" i="1" s="1"/>
  <c r="M64" i="1"/>
  <c r="H52" i="17"/>
  <c r="Q73" i="2"/>
  <c r="Q323" i="1" s="1"/>
  <c r="Q129" i="1" s="1"/>
  <c r="Q76" i="2"/>
  <c r="Q326" i="1" s="1"/>
  <c r="R170" i="2"/>
  <c r="R61" i="2" s="1"/>
  <c r="R311" i="1" s="1"/>
  <c r="M179" i="17" s="1"/>
  <c r="R185" i="2"/>
  <c r="R76" i="2" s="1"/>
  <c r="R326" i="1" s="1"/>
  <c r="R182" i="2"/>
  <c r="R73" i="2" s="1"/>
  <c r="R323" i="1" s="1"/>
  <c r="R129" i="1" s="1"/>
  <c r="R176" i="2"/>
  <c r="R67" i="2" s="1"/>
  <c r="R317" i="1" s="1"/>
  <c r="M183" i="17" s="1"/>
  <c r="Q32" i="1"/>
  <c r="Q173" i="2"/>
  <c r="Q64" i="2" s="1"/>
  <c r="Q314" i="1" s="1"/>
  <c r="L181" i="17" s="1"/>
  <c r="J25" i="15"/>
  <c r="Q52" i="1"/>
  <c r="L49" i="17" s="1"/>
  <c r="Q198" i="1"/>
  <c r="L125" i="17" s="1"/>
  <c r="P238" i="1"/>
  <c r="F14" i="15"/>
  <c r="F231" i="17" s="1"/>
  <c r="K73" i="1"/>
  <c r="F8" i="17" s="1"/>
  <c r="H35" i="10"/>
  <c r="F23" i="15"/>
  <c r="F234" i="17" s="1"/>
  <c r="O303" i="1"/>
  <c r="O209" i="1"/>
  <c r="J136" i="17" s="1"/>
  <c r="R10" i="10"/>
  <c r="R11" i="10" s="1"/>
  <c r="N304" i="1"/>
  <c r="N63" i="1"/>
  <c r="I52" i="17" s="1"/>
  <c r="R262" i="1"/>
  <c r="P285" i="1"/>
  <c r="R282" i="1"/>
  <c r="S282" i="1"/>
  <c r="Q282" i="1"/>
  <c r="Q285" i="1" s="1"/>
  <c r="S256" i="1"/>
  <c r="Q256" i="1"/>
  <c r="R256" i="1"/>
  <c r="Q28" i="2"/>
  <c r="Q236" i="1"/>
  <c r="O56" i="1"/>
  <c r="E15" i="15"/>
  <c r="J27" i="15"/>
  <c r="J29" i="15"/>
  <c r="L158" i="1"/>
  <c r="G10" i="15"/>
  <c r="G12" i="15" s="1"/>
  <c r="J33" i="15"/>
  <c r="I26" i="15"/>
  <c r="I236" i="17" s="1"/>
  <c r="J26" i="15"/>
  <c r="J39" i="15"/>
  <c r="L5" i="15"/>
  <c r="M4" i="15"/>
  <c r="M7" i="15" s="1"/>
  <c r="K30" i="15"/>
  <c r="Q112" i="1"/>
  <c r="L21" i="17" s="1"/>
  <c r="S25" i="10"/>
  <c r="Q114" i="1"/>
  <c r="P33" i="1"/>
  <c r="S7" i="10"/>
  <c r="S8" i="10" s="1"/>
  <c r="R90" i="1"/>
  <c r="U3" i="10"/>
  <c r="Q26" i="2"/>
  <c r="Q30" i="2"/>
  <c r="P55" i="1"/>
  <c r="K50" i="17" s="1"/>
  <c r="R49" i="1"/>
  <c r="S144" i="2"/>
  <c r="S35" i="2" s="1"/>
  <c r="N225" i="17" s="1"/>
  <c r="R69" i="1"/>
  <c r="R135" i="2"/>
  <c r="R235" i="1" s="1"/>
  <c r="M148" i="17" s="1"/>
  <c r="S24" i="1"/>
  <c r="S37" i="1" s="1"/>
  <c r="R137" i="2"/>
  <c r="R195" i="2"/>
  <c r="R86" i="2" s="1"/>
  <c r="R189" i="1" s="1"/>
  <c r="M118" i="17" s="1"/>
  <c r="R46" i="1"/>
  <c r="R25" i="1"/>
  <c r="R18" i="1"/>
  <c r="R29" i="1"/>
  <c r="R87" i="1"/>
  <c r="R101" i="1"/>
  <c r="R157" i="1" s="1"/>
  <c r="M93" i="17" s="1"/>
  <c r="R139" i="2"/>
  <c r="R237" i="1" s="1"/>
  <c r="R43" i="1"/>
  <c r="R165" i="2"/>
  <c r="R56" i="2" s="1"/>
  <c r="R40" i="1"/>
  <c r="R84" i="1"/>
  <c r="R14" i="1"/>
  <c r="R22" i="1"/>
  <c r="R10" i="1"/>
  <c r="T4" i="10"/>
  <c r="M66" i="1"/>
  <c r="J42" i="10" s="1"/>
  <c r="G14" i="15"/>
  <c r="G231" i="17" s="1"/>
  <c r="L67" i="1"/>
  <c r="I173" i="17" l="1"/>
  <c r="M45" i="10"/>
  <c r="K73" i="17"/>
  <c r="M48" i="10"/>
  <c r="J36" i="15"/>
  <c r="J238" i="17" s="1"/>
  <c r="S295" i="1"/>
  <c r="N168" i="17" s="1"/>
  <c r="P300" i="1"/>
  <c r="P162" i="1"/>
  <c r="K98" i="17" s="1"/>
  <c r="K22" i="17"/>
  <c r="K64" i="17"/>
  <c r="S24" i="10"/>
  <c r="P134" i="1"/>
  <c r="K77" i="17" s="1"/>
  <c r="P165" i="1"/>
  <c r="K101" i="17" s="1"/>
  <c r="K23" i="17"/>
  <c r="K24" i="17" s="1"/>
  <c r="K25" i="15"/>
  <c r="Q132" i="1"/>
  <c r="Q159" i="1" s="1"/>
  <c r="L24" i="15" s="1"/>
  <c r="L235" i="17" s="1"/>
  <c r="L189" i="17"/>
  <c r="L187" i="17"/>
  <c r="R132" i="1"/>
  <c r="M187" i="17"/>
  <c r="M189" i="17"/>
  <c r="P298" i="1"/>
  <c r="K171" i="17" s="1"/>
  <c r="K167" i="17"/>
  <c r="O298" i="1"/>
  <c r="J171" i="17" s="1"/>
  <c r="J166" i="17"/>
  <c r="J40" i="15"/>
  <c r="J239" i="17"/>
  <c r="J34" i="15"/>
  <c r="J237" i="17"/>
  <c r="J236" i="17"/>
  <c r="S26" i="10"/>
  <c r="S27" i="10" s="1"/>
  <c r="R295" i="1"/>
  <c r="M168" i="17" s="1"/>
  <c r="O60" i="1"/>
  <c r="J51" i="17" s="1"/>
  <c r="K40" i="15"/>
  <c r="K239" i="17"/>
  <c r="Q128" i="1"/>
  <c r="Q165" i="1" s="1"/>
  <c r="L101" i="17" s="1"/>
  <c r="L185" i="17"/>
  <c r="Q259" i="1"/>
  <c r="Q199" i="1" s="1"/>
  <c r="L126" i="17" s="1"/>
  <c r="Q295" i="1"/>
  <c r="L168" i="17" s="1"/>
  <c r="S262" i="1"/>
  <c r="R288" i="1"/>
  <c r="M161" i="17" s="1"/>
  <c r="O306" i="1"/>
  <c r="L39" i="15"/>
  <c r="L107" i="17"/>
  <c r="S16" i="10"/>
  <c r="S17" i="10" s="1"/>
  <c r="Q173" i="1"/>
  <c r="G137" i="17"/>
  <c r="M207" i="1"/>
  <c r="L120" i="1"/>
  <c r="R208" i="1"/>
  <c r="M135" i="17" s="1"/>
  <c r="M150" i="17"/>
  <c r="P239" i="1"/>
  <c r="K152" i="17" s="1"/>
  <c r="K151" i="17"/>
  <c r="Q203" i="1"/>
  <c r="L130" i="17" s="1"/>
  <c r="L149" i="17"/>
  <c r="M200" i="1"/>
  <c r="H124" i="17"/>
  <c r="N202" i="1"/>
  <c r="H132" i="17"/>
  <c r="P172" i="1"/>
  <c r="K105" i="17" s="1"/>
  <c r="H139" i="17"/>
  <c r="M215" i="1"/>
  <c r="K36" i="15"/>
  <c r="R173" i="2"/>
  <c r="R64" i="2" s="1"/>
  <c r="R314" i="1" s="1"/>
  <c r="M47" i="17"/>
  <c r="R179" i="2"/>
  <c r="R70" i="2" s="1"/>
  <c r="R320" i="1" s="1"/>
  <c r="Q163" i="1"/>
  <c r="L65" i="17"/>
  <c r="Q33" i="1"/>
  <c r="L48" i="17"/>
  <c r="Q166" i="1"/>
  <c r="L102" i="17" s="1"/>
  <c r="K27" i="15"/>
  <c r="K99" i="17"/>
  <c r="L79" i="17"/>
  <c r="K6" i="17"/>
  <c r="S331" i="1"/>
  <c r="N195" i="17" s="1"/>
  <c r="N46" i="17"/>
  <c r="L63" i="17"/>
  <c r="L28" i="17"/>
  <c r="J7" i="17"/>
  <c r="G23" i="15"/>
  <c r="G234" i="17" s="1"/>
  <c r="G94" i="17"/>
  <c r="T7" i="10"/>
  <c r="T8" i="10" s="1"/>
  <c r="M79" i="17"/>
  <c r="S170" i="2"/>
  <c r="S61" i="2" s="1"/>
  <c r="S311" i="1" s="1"/>
  <c r="N179" i="17" s="1"/>
  <c r="S182" i="2"/>
  <c r="S185" i="2"/>
  <c r="S176" i="2"/>
  <c r="S67" i="2" s="1"/>
  <c r="S317" i="1" s="1"/>
  <c r="N183" i="17" s="1"/>
  <c r="Q161" i="1"/>
  <c r="L97" i="17" s="1"/>
  <c r="R52" i="1"/>
  <c r="T25" i="10"/>
  <c r="F15" i="15"/>
  <c r="Q238" i="1"/>
  <c r="R198" i="1"/>
  <c r="M125" i="17" s="1"/>
  <c r="R272" i="1"/>
  <c r="R204" i="1" s="1"/>
  <c r="M131" i="17" s="1"/>
  <c r="H10" i="15"/>
  <c r="H12" i="15" s="1"/>
  <c r="M72" i="1"/>
  <c r="P303" i="1"/>
  <c r="P209" i="1"/>
  <c r="K136" i="17" s="1"/>
  <c r="Q303" i="1"/>
  <c r="Q209" i="1"/>
  <c r="L136" i="17" s="1"/>
  <c r="O304" i="1"/>
  <c r="O63" i="1"/>
  <c r="P301" i="1"/>
  <c r="P60" i="1"/>
  <c r="S283" i="1"/>
  <c r="R283" i="1"/>
  <c r="R285" i="1" s="1"/>
  <c r="R257" i="1"/>
  <c r="S257" i="1"/>
  <c r="R28" i="2"/>
  <c r="R236" i="1"/>
  <c r="N4" i="15"/>
  <c r="N7" i="15" s="1"/>
  <c r="M5" i="15"/>
  <c r="R166" i="1"/>
  <c r="M102" i="17" s="1"/>
  <c r="M158" i="1"/>
  <c r="R112" i="1"/>
  <c r="M21" i="17" s="1"/>
  <c r="Q113" i="1"/>
  <c r="R114" i="1"/>
  <c r="I35" i="10"/>
  <c r="S49" i="1"/>
  <c r="V3" i="10"/>
  <c r="S195" i="2"/>
  <c r="S86" i="2" s="1"/>
  <c r="S189" i="1" s="1"/>
  <c r="N118" i="17" s="1"/>
  <c r="S10" i="10"/>
  <c r="S11" i="10" s="1"/>
  <c r="R30" i="2"/>
  <c r="P56" i="1"/>
  <c r="R26" i="2"/>
  <c r="S146" i="2"/>
  <c r="S139" i="2"/>
  <c r="S237" i="1" s="1"/>
  <c r="N150" i="17" s="1"/>
  <c r="S137" i="2"/>
  <c r="S25" i="1"/>
  <c r="S14" i="1"/>
  <c r="S22" i="1"/>
  <c r="S135" i="2"/>
  <c r="S235" i="1" s="1"/>
  <c r="N148" i="17" s="1"/>
  <c r="S101" i="1"/>
  <c r="S157" i="1" s="1"/>
  <c r="N93" i="17" s="1"/>
  <c r="S18" i="1"/>
  <c r="S10" i="1"/>
  <c r="S165" i="2"/>
  <c r="S56" i="2" s="1"/>
  <c r="S84" i="1"/>
  <c r="S43" i="1"/>
  <c r="S46" i="1"/>
  <c r="S87" i="1"/>
  <c r="S90" i="1"/>
  <c r="S69" i="1"/>
  <c r="S40" i="1"/>
  <c r="S29" i="1"/>
  <c r="R32" i="1"/>
  <c r="U4" i="10"/>
  <c r="Q53" i="1"/>
  <c r="M67" i="1"/>
  <c r="L73" i="1"/>
  <c r="G8" i="17" s="1"/>
  <c r="N66" i="1"/>
  <c r="K42" i="10" s="1"/>
  <c r="N64" i="1"/>
  <c r="Q55" i="1"/>
  <c r="L50" i="17" s="1"/>
  <c r="P306" i="1" l="1"/>
  <c r="J37" i="15"/>
  <c r="K26" i="15"/>
  <c r="K29" i="15"/>
  <c r="R159" i="1"/>
  <c r="M24" i="15" s="1"/>
  <c r="M235" i="17" s="1"/>
  <c r="L95" i="17"/>
  <c r="L74" i="17"/>
  <c r="T26" i="10"/>
  <c r="L36" i="15"/>
  <c r="L238" i="17" s="1"/>
  <c r="M95" i="17"/>
  <c r="M74" i="17"/>
  <c r="Q134" i="1"/>
  <c r="L73" i="17"/>
  <c r="L23" i="17"/>
  <c r="K236" i="17"/>
  <c r="R128" i="1"/>
  <c r="U26" i="10" s="1"/>
  <c r="M185" i="17"/>
  <c r="Q298" i="1"/>
  <c r="L171" i="17" s="1"/>
  <c r="S296" i="1"/>
  <c r="N169" i="17" s="1"/>
  <c r="R113" i="1"/>
  <c r="M26" i="17" s="1"/>
  <c r="M181" i="17"/>
  <c r="Q300" i="1"/>
  <c r="Q306" i="1" s="1"/>
  <c r="K37" i="15"/>
  <c r="K238" i="17"/>
  <c r="O307" i="1"/>
  <c r="J174" i="17" s="1"/>
  <c r="J173" i="17"/>
  <c r="P307" i="1"/>
  <c r="K174" i="17" s="1"/>
  <c r="K173" i="17"/>
  <c r="L40" i="15"/>
  <c r="L239" i="17"/>
  <c r="S272" i="1"/>
  <c r="S204" i="1" s="1"/>
  <c r="N131" i="17" s="1"/>
  <c r="S288" i="1"/>
  <c r="N161" i="17" s="1"/>
  <c r="R259" i="1"/>
  <c r="R199" i="1" s="1"/>
  <c r="M126" i="17" s="1"/>
  <c r="R296" i="1"/>
  <c r="R173" i="1"/>
  <c r="M106" i="17" s="1"/>
  <c r="L106" i="17"/>
  <c r="L30" i="15"/>
  <c r="T16" i="10"/>
  <c r="T17" i="10" s="1"/>
  <c r="Q172" i="1"/>
  <c r="L105" i="17" s="1"/>
  <c r="H127" i="17"/>
  <c r="N197" i="1"/>
  <c r="M119" i="1"/>
  <c r="Q239" i="1"/>
  <c r="L152" i="17" s="1"/>
  <c r="L151" i="17"/>
  <c r="N212" i="1"/>
  <c r="H142" i="17"/>
  <c r="K33" i="15"/>
  <c r="I129" i="17"/>
  <c r="N205" i="1"/>
  <c r="G68" i="17"/>
  <c r="L124" i="1"/>
  <c r="G71" i="17" s="1"/>
  <c r="M210" i="1"/>
  <c r="H134" i="17"/>
  <c r="R203" i="1"/>
  <c r="M130" i="17" s="1"/>
  <c r="M149" i="17"/>
  <c r="L22" i="17"/>
  <c r="L64" i="17"/>
  <c r="L26" i="17"/>
  <c r="M63" i="17"/>
  <c r="M28" i="17"/>
  <c r="H53" i="17"/>
  <c r="R163" i="1"/>
  <c r="M65" i="17"/>
  <c r="L77" i="17"/>
  <c r="L27" i="15"/>
  <c r="L99" i="17"/>
  <c r="K7" i="17"/>
  <c r="L6" i="17"/>
  <c r="N47" i="17"/>
  <c r="S179" i="2"/>
  <c r="S70" i="2" s="1"/>
  <c r="S320" i="1" s="1"/>
  <c r="R53" i="1"/>
  <c r="M49" i="17"/>
  <c r="U7" i="10"/>
  <c r="U8" i="10" s="1"/>
  <c r="M48" i="17"/>
  <c r="H23" i="15"/>
  <c r="H234" i="17" s="1"/>
  <c r="H94" i="17"/>
  <c r="L29" i="15"/>
  <c r="O64" i="1"/>
  <c r="J52" i="17"/>
  <c r="P61" i="1"/>
  <c r="K51" i="17"/>
  <c r="N79" i="17"/>
  <c r="S76" i="2"/>
  <c r="S326" i="1" s="1"/>
  <c r="S73" i="2"/>
  <c r="S323" i="1" s="1"/>
  <c r="S129" i="1" s="1"/>
  <c r="L25" i="15"/>
  <c r="S32" i="1"/>
  <c r="S33" i="1" s="1"/>
  <c r="S173" i="2"/>
  <c r="S64" i="2" s="1"/>
  <c r="S314" i="1" s="1"/>
  <c r="N181" i="17" s="1"/>
  <c r="R161" i="1"/>
  <c r="M97" i="17" s="1"/>
  <c r="S52" i="1"/>
  <c r="R238" i="1"/>
  <c r="L33" i="15"/>
  <c r="Q304" i="1"/>
  <c r="Q63" i="1"/>
  <c r="L52" i="17" s="1"/>
  <c r="P304" i="1"/>
  <c r="P63" i="1"/>
  <c r="R303" i="1"/>
  <c r="R209" i="1"/>
  <c r="M136" i="17" s="1"/>
  <c r="I10" i="15"/>
  <c r="I12" i="15" s="1"/>
  <c r="N72" i="1"/>
  <c r="S284" i="1"/>
  <c r="S285" i="1" s="1"/>
  <c r="S208" i="1"/>
  <c r="N135" i="17" s="1"/>
  <c r="S258" i="1"/>
  <c r="S198" i="1"/>
  <c r="N125" i="17" s="1"/>
  <c r="S28" i="2"/>
  <c r="S236" i="1"/>
  <c r="G15" i="15"/>
  <c r="M30" i="15"/>
  <c r="J35" i="10"/>
  <c r="H14" i="15"/>
  <c r="H231" i="17" s="1"/>
  <c r="N5" i="15"/>
  <c r="N158" i="1"/>
  <c r="I94" i="17" s="1"/>
  <c r="U25" i="10"/>
  <c r="T24" i="10"/>
  <c r="Q162" i="1"/>
  <c r="L98" i="17" s="1"/>
  <c r="S112" i="1"/>
  <c r="N21" i="17" s="1"/>
  <c r="S114" i="1"/>
  <c r="N65" i="17" s="1"/>
  <c r="S37" i="2"/>
  <c r="S213" i="1" s="1"/>
  <c r="R172" i="1"/>
  <c r="M105" i="17" s="1"/>
  <c r="T10" i="10"/>
  <c r="T11" i="10" s="1"/>
  <c r="M73" i="1"/>
  <c r="H8" i="17" s="1"/>
  <c r="V4" i="10"/>
  <c r="N67" i="1"/>
  <c r="S26" i="2"/>
  <c r="S30" i="2"/>
  <c r="R55" i="1"/>
  <c r="M50" i="17" s="1"/>
  <c r="R33" i="1"/>
  <c r="Q56" i="1"/>
  <c r="L7" i="17" s="1"/>
  <c r="O66" i="1"/>
  <c r="O61" i="1"/>
  <c r="O72" i="1" l="1"/>
  <c r="L35" i="10" s="1"/>
  <c r="L42" i="10"/>
  <c r="T27" i="10"/>
  <c r="R300" i="1"/>
  <c r="M73" i="17"/>
  <c r="R134" i="1"/>
  <c r="M77" i="17" s="1"/>
  <c r="Q301" i="1"/>
  <c r="Q60" i="1"/>
  <c r="L51" i="17" s="1"/>
  <c r="L37" i="15"/>
  <c r="U24" i="10"/>
  <c r="U27" i="10" s="1"/>
  <c r="R165" i="1"/>
  <c r="M101" i="17" s="1"/>
  <c r="R162" i="1"/>
  <c r="M98" i="17" s="1"/>
  <c r="M23" i="17"/>
  <c r="M64" i="17"/>
  <c r="M22" i="17"/>
  <c r="L24" i="17"/>
  <c r="L34" i="15"/>
  <c r="L237" i="17"/>
  <c r="S128" i="1"/>
  <c r="N23" i="17" s="1"/>
  <c r="N185" i="17"/>
  <c r="Q307" i="1"/>
  <c r="L174" i="17" s="1"/>
  <c r="L173" i="17"/>
  <c r="R298" i="1"/>
  <c r="M171" i="17" s="1"/>
  <c r="M169" i="17"/>
  <c r="S132" i="1"/>
  <c r="S159" i="1" s="1"/>
  <c r="N95" i="17" s="1"/>
  <c r="N187" i="17"/>
  <c r="N189" i="17"/>
  <c r="K34" i="15"/>
  <c r="K237" i="17"/>
  <c r="S259" i="1"/>
  <c r="S199" i="1" s="1"/>
  <c r="N126" i="17" s="1"/>
  <c r="S297" i="1"/>
  <c r="N170" i="17" s="1"/>
  <c r="M36" i="15"/>
  <c r="U16" i="10"/>
  <c r="U17" i="10" s="1"/>
  <c r="H137" i="17"/>
  <c r="M120" i="1"/>
  <c r="H68" i="17" s="1"/>
  <c r="N207" i="1"/>
  <c r="S203" i="1"/>
  <c r="N130" i="17" s="1"/>
  <c r="N149" i="17"/>
  <c r="S174" i="1"/>
  <c r="N107" i="17" s="1"/>
  <c r="N140" i="17"/>
  <c r="H67" i="17"/>
  <c r="O202" i="1"/>
  <c r="I132" i="17"/>
  <c r="N200" i="1"/>
  <c r="I124" i="17"/>
  <c r="I139" i="17"/>
  <c r="N215" i="1"/>
  <c r="R239" i="1"/>
  <c r="M152" i="17" s="1"/>
  <c r="M151" i="17"/>
  <c r="S166" i="1"/>
  <c r="N102" i="17" s="1"/>
  <c r="P64" i="1"/>
  <c r="K52" i="17"/>
  <c r="M27" i="15"/>
  <c r="M99" i="17"/>
  <c r="N6" i="17"/>
  <c r="V25" i="10"/>
  <c r="N63" i="17"/>
  <c r="N28" i="17"/>
  <c r="I14" i="15"/>
  <c r="I231" i="17" s="1"/>
  <c r="I53" i="17"/>
  <c r="J53" i="17"/>
  <c r="S55" i="1"/>
  <c r="N50" i="17" s="1"/>
  <c r="N49" i="17"/>
  <c r="V7" i="10"/>
  <c r="V8" i="10" s="1"/>
  <c r="N48" i="17"/>
  <c r="M6" i="17"/>
  <c r="S161" i="1"/>
  <c r="N97" i="17" s="1"/>
  <c r="R306" i="1"/>
  <c r="S238" i="1"/>
  <c r="P66" i="1"/>
  <c r="S173" i="1"/>
  <c r="R304" i="1"/>
  <c r="R63" i="1"/>
  <c r="S303" i="1"/>
  <c r="S209" i="1"/>
  <c r="N136" i="17" s="1"/>
  <c r="R301" i="1"/>
  <c r="R60" i="1"/>
  <c r="L26" i="15"/>
  <c r="L236" i="17" s="1"/>
  <c r="I23" i="15"/>
  <c r="I234" i="17" s="1"/>
  <c r="M33" i="15"/>
  <c r="M25" i="15"/>
  <c r="H15" i="15"/>
  <c r="O158" i="1"/>
  <c r="J10" i="15"/>
  <c r="J12" i="15" s="1"/>
  <c r="S113" i="1"/>
  <c r="S163" i="1"/>
  <c r="N99" i="17" s="1"/>
  <c r="N73" i="1"/>
  <c r="I8" i="17" s="1"/>
  <c r="K35" i="10"/>
  <c r="U10" i="10"/>
  <c r="U11" i="10" s="1"/>
  <c r="O67" i="1"/>
  <c r="S53" i="1"/>
  <c r="R56" i="1"/>
  <c r="Q61" i="1"/>
  <c r="Q64" i="1"/>
  <c r="P72" i="1" l="1"/>
  <c r="M35" i="10" s="1"/>
  <c r="M42" i="10"/>
  <c r="M29" i="15"/>
  <c r="N73" i="17"/>
  <c r="S298" i="1"/>
  <c r="N171" i="17" s="1"/>
  <c r="S165" i="1"/>
  <c r="N101" i="17" s="1"/>
  <c r="M24" i="17"/>
  <c r="M26" i="15"/>
  <c r="M236" i="17" s="1"/>
  <c r="N74" i="17"/>
  <c r="N24" i="15"/>
  <c r="N235" i="17" s="1"/>
  <c r="M124" i="1"/>
  <c r="H71" i="17" s="1"/>
  <c r="S134" i="1"/>
  <c r="N77" i="17" s="1"/>
  <c r="V26" i="10"/>
  <c r="S300" i="1"/>
  <c r="S301" i="1" s="1"/>
  <c r="R307" i="1"/>
  <c r="M174" i="17" s="1"/>
  <c r="M173" i="17"/>
  <c r="M34" i="15"/>
  <c r="M237" i="17"/>
  <c r="M37" i="15"/>
  <c r="M238" i="17"/>
  <c r="V10" i="10"/>
  <c r="V11" i="10" s="1"/>
  <c r="N39" i="15"/>
  <c r="V16" i="10"/>
  <c r="V17" i="10" s="1"/>
  <c r="I127" i="17"/>
  <c r="N119" i="1"/>
  <c r="O197" i="1"/>
  <c r="O212" i="1"/>
  <c r="I142" i="17"/>
  <c r="S239" i="1"/>
  <c r="N152" i="17" s="1"/>
  <c r="N151" i="17"/>
  <c r="J129" i="17"/>
  <c r="O205" i="1"/>
  <c r="N210" i="1"/>
  <c r="I134" i="17"/>
  <c r="S172" i="1"/>
  <c r="N105" i="17" s="1"/>
  <c r="S56" i="1"/>
  <c r="N7" i="17" s="1"/>
  <c r="J23" i="15"/>
  <c r="J234" i="17" s="1"/>
  <c r="J94" i="17"/>
  <c r="K53" i="17"/>
  <c r="R61" i="1"/>
  <c r="M51" i="17"/>
  <c r="M7" i="17"/>
  <c r="N30" i="15"/>
  <c r="R64" i="1"/>
  <c r="M52" i="17"/>
  <c r="N36" i="15"/>
  <c r="N106" i="17"/>
  <c r="S162" i="1"/>
  <c r="N22" i="17"/>
  <c r="N24" i="17" s="1"/>
  <c r="N64" i="17"/>
  <c r="N26" i="17"/>
  <c r="K10" i="15"/>
  <c r="K12" i="15" s="1"/>
  <c r="P158" i="1"/>
  <c r="V24" i="10"/>
  <c r="P67" i="1"/>
  <c r="S304" i="1"/>
  <c r="S63" i="1"/>
  <c r="N52" i="17" s="1"/>
  <c r="O73" i="1"/>
  <c r="J8" i="17" s="1"/>
  <c r="J14" i="15"/>
  <c r="J231" i="17" s="1"/>
  <c r="I15" i="15"/>
  <c r="P73" i="1"/>
  <c r="K8" i="17" s="1"/>
  <c r="K14" i="15"/>
  <c r="K231" i="17" s="1"/>
  <c r="N27" i="15"/>
  <c r="N25" i="15"/>
  <c r="Q66" i="1"/>
  <c r="Q72" i="1" s="1"/>
  <c r="R66" i="1"/>
  <c r="R72" i="1" s="1"/>
  <c r="N29" i="15" l="1"/>
  <c r="V27" i="10"/>
  <c r="S60" i="1"/>
  <c r="S306" i="1"/>
  <c r="N40" i="15"/>
  <c r="N239" i="17"/>
  <c r="S307" i="1"/>
  <c r="N174" i="17" s="1"/>
  <c r="N173" i="17"/>
  <c r="N37" i="15"/>
  <c r="N238" i="17"/>
  <c r="N33" i="15"/>
  <c r="I137" i="17"/>
  <c r="O207" i="1"/>
  <c r="N120" i="1"/>
  <c r="I68" i="17" s="1"/>
  <c r="J139" i="17"/>
  <c r="O215" i="1"/>
  <c r="O200" i="1"/>
  <c r="J124" i="17"/>
  <c r="P202" i="1"/>
  <c r="J132" i="17"/>
  <c r="I67" i="17"/>
  <c r="N26" i="15"/>
  <c r="N236" i="17" s="1"/>
  <c r="N98" i="17"/>
  <c r="K23" i="15"/>
  <c r="K234" i="17" s="1"/>
  <c r="K94" i="17"/>
  <c r="S61" i="1"/>
  <c r="N51" i="17"/>
  <c r="M53" i="17"/>
  <c r="L53" i="17"/>
  <c r="R158" i="1"/>
  <c r="M10" i="15"/>
  <c r="M12" i="15" s="1"/>
  <c r="K15" i="15"/>
  <c r="Q158" i="1"/>
  <c r="L10" i="15"/>
  <c r="L12" i="15" s="1"/>
  <c r="J15" i="15"/>
  <c r="Q67" i="1"/>
  <c r="S66" i="1"/>
  <c r="S64" i="1"/>
  <c r="M14" i="15"/>
  <c r="M231" i="17" s="1"/>
  <c r="R67" i="1"/>
  <c r="N124" i="1" l="1"/>
  <c r="I71" i="17" s="1"/>
  <c r="N34" i="15"/>
  <c r="N237" i="17"/>
  <c r="J127" i="17"/>
  <c r="P197" i="1"/>
  <c r="O119" i="1"/>
  <c r="O210" i="1"/>
  <c r="J134" i="17"/>
  <c r="K129" i="17"/>
  <c r="P205" i="1"/>
  <c r="P212" i="1"/>
  <c r="J142" i="17"/>
  <c r="M23" i="15"/>
  <c r="M234" i="17" s="1"/>
  <c r="M94" i="17"/>
  <c r="L23" i="15"/>
  <c r="L234" i="17" s="1"/>
  <c r="L94" i="17"/>
  <c r="N10" i="15"/>
  <c r="N12" i="15" s="1"/>
  <c r="S72" i="1"/>
  <c r="Q73" i="1"/>
  <c r="L8" i="17" s="1"/>
  <c r="L14" i="15"/>
  <c r="L231" i="17" s="1"/>
  <c r="S158" i="1"/>
  <c r="S67" i="1"/>
  <c r="R73" i="1"/>
  <c r="M8" i="17" s="1"/>
  <c r="Q202" i="1" l="1"/>
  <c r="K132" i="17"/>
  <c r="J67" i="17"/>
  <c r="P215" i="1"/>
  <c r="K139" i="17"/>
  <c r="P200" i="1"/>
  <c r="K124" i="17"/>
  <c r="J137" i="17"/>
  <c r="P207" i="1"/>
  <c r="O120" i="1"/>
  <c r="J68" i="17" s="1"/>
  <c r="N23" i="15"/>
  <c r="N234" i="17" s="1"/>
  <c r="N94" i="17"/>
  <c r="N14" i="15"/>
  <c r="N231" i="17" s="1"/>
  <c r="N53" i="17"/>
  <c r="M15" i="15"/>
  <c r="L15" i="15"/>
  <c r="S73" i="1"/>
  <c r="N8" i="17" s="1"/>
  <c r="D50" i="15" l="1"/>
  <c r="C77" i="15" s="1"/>
  <c r="C79" i="15" s="1"/>
  <c r="C80" i="15" s="1"/>
  <c r="Q212" i="1"/>
  <c r="K142" i="17"/>
  <c r="P210" i="1"/>
  <c r="K134" i="17"/>
  <c r="K127" i="17"/>
  <c r="Q197" i="1"/>
  <c r="P119" i="1"/>
  <c r="O124" i="1"/>
  <c r="J71" i="17" s="1"/>
  <c r="L129" i="17"/>
  <c r="Q205" i="1"/>
  <c r="N15" i="15"/>
  <c r="R202" i="1" l="1"/>
  <c r="L132" i="17"/>
  <c r="K67" i="17"/>
  <c r="Q200" i="1"/>
  <c r="L124" i="17"/>
  <c r="K137" i="17"/>
  <c r="P120" i="1"/>
  <c r="K68" i="17" s="1"/>
  <c r="Q207" i="1"/>
  <c r="L139" i="17"/>
  <c r="Q215" i="1"/>
  <c r="I83" i="2"/>
  <c r="J83" i="2"/>
  <c r="K192" i="2"/>
  <c r="K83" i="2" s="1"/>
  <c r="L192" i="2"/>
  <c r="L83" i="2" s="1"/>
  <c r="M192" i="2"/>
  <c r="M83" i="2" s="1"/>
  <c r="N192" i="2"/>
  <c r="N83" i="2" s="1"/>
  <c r="O192" i="2"/>
  <c r="O83" i="2" s="1"/>
  <c r="P192" i="2"/>
  <c r="P83" i="2" s="1"/>
  <c r="Q192" i="2"/>
  <c r="Q83" i="2" s="1"/>
  <c r="R192" i="2"/>
  <c r="R83" i="2" s="1"/>
  <c r="S192" i="2"/>
  <c r="P124" i="1" l="1"/>
  <c r="K71" i="17" s="1"/>
  <c r="Q210" i="1"/>
  <c r="L134" i="17"/>
  <c r="R212" i="1"/>
  <c r="M139" i="17" s="1"/>
  <c r="L142" i="17"/>
  <c r="L127" i="17"/>
  <c r="R197" i="1"/>
  <c r="Q119" i="1"/>
  <c r="M129" i="17"/>
  <c r="R205" i="1"/>
  <c r="S83" i="2"/>
  <c r="L67" i="17" l="1"/>
  <c r="S202" i="1"/>
  <c r="M132" i="17"/>
  <c r="R200" i="1"/>
  <c r="M124" i="17"/>
  <c r="L137" i="17"/>
  <c r="R207" i="1"/>
  <c r="Q120" i="1"/>
  <c r="L68" i="17" s="1"/>
  <c r="E17" i="15"/>
  <c r="J78" i="1"/>
  <c r="E20" i="15" l="1"/>
  <c r="E42" i="15" s="1"/>
  <c r="E232" i="17"/>
  <c r="R210" i="1"/>
  <c r="M134" i="17"/>
  <c r="Q124" i="1"/>
  <c r="L71" i="17" s="1"/>
  <c r="M127" i="17"/>
  <c r="S197" i="1"/>
  <c r="R119" i="1"/>
  <c r="M67" i="17" s="1"/>
  <c r="N129" i="17"/>
  <c r="S205" i="1"/>
  <c r="N132" i="17" s="1"/>
  <c r="E21" i="15"/>
  <c r="E233" i="17" l="1"/>
  <c r="N124" i="17"/>
  <c r="S200" i="1"/>
  <c r="S207" i="1"/>
  <c r="M137" i="17"/>
  <c r="F17" i="15"/>
  <c r="F20" i="15" l="1"/>
  <c r="F232" i="17"/>
  <c r="E240" i="17"/>
  <c r="E55" i="15"/>
  <c r="E59" i="15" s="1"/>
  <c r="E60" i="15" s="1"/>
  <c r="S210" i="1"/>
  <c r="N137" i="17" s="1"/>
  <c r="N134" i="17"/>
  <c r="S119" i="1"/>
  <c r="N67" i="17" s="1"/>
  <c r="N127" i="17"/>
  <c r="F21" i="15"/>
  <c r="F42" i="15" l="1"/>
  <c r="F233" i="17"/>
  <c r="G17" i="15"/>
  <c r="G20" i="15" l="1"/>
  <c r="G232" i="17"/>
  <c r="F240" i="17"/>
  <c r="F55" i="15"/>
  <c r="F59" i="15" s="1"/>
  <c r="F60" i="15" s="1"/>
  <c r="G21" i="15"/>
  <c r="G42" i="15" l="1"/>
  <c r="G233" i="17"/>
  <c r="G240" i="17" l="1"/>
  <c r="G55" i="15"/>
  <c r="G59" i="15" s="1"/>
  <c r="G60" i="15" s="1"/>
  <c r="H17" i="15"/>
  <c r="H20" i="15" l="1"/>
  <c r="H21" i="15" s="1"/>
  <c r="H232" i="17"/>
  <c r="H42" i="15" l="1"/>
  <c r="H233" i="17"/>
  <c r="H240" i="17" l="1"/>
  <c r="H55" i="15"/>
  <c r="H59" i="15" s="1"/>
  <c r="H60" i="15" s="1"/>
  <c r="I17" i="15"/>
  <c r="I20" i="15" l="1"/>
  <c r="I21" i="15" s="1"/>
  <c r="I232" i="17"/>
  <c r="I42" i="15" l="1"/>
  <c r="I233" i="17"/>
  <c r="I240" i="17" l="1"/>
  <c r="I55" i="15"/>
  <c r="I59" i="15" s="1"/>
  <c r="I60" i="15" s="1"/>
  <c r="J17" i="15"/>
  <c r="J20" i="15" l="1"/>
  <c r="J21" i="15" s="1"/>
  <c r="J232" i="17"/>
  <c r="J42" i="15" l="1"/>
  <c r="J233" i="17"/>
  <c r="J240" i="17" l="1"/>
  <c r="J55" i="15"/>
  <c r="J59" i="15" s="1"/>
  <c r="J60" i="15" s="1"/>
  <c r="K17" i="15"/>
  <c r="K20" i="15" l="1"/>
  <c r="K21" i="15" s="1"/>
  <c r="K232" i="17"/>
  <c r="K42" i="15" l="1"/>
  <c r="K233" i="17"/>
  <c r="K240" i="17" l="1"/>
  <c r="K55" i="15"/>
  <c r="K59" i="15" s="1"/>
  <c r="K60" i="15" s="1"/>
  <c r="L17" i="15"/>
  <c r="L20" i="15" l="1"/>
  <c r="L232" i="17"/>
  <c r="L21" i="15"/>
  <c r="L42" i="15" l="1"/>
  <c r="L233" i="17"/>
  <c r="L240" i="17" l="1"/>
  <c r="L55" i="15"/>
  <c r="L59" i="15" s="1"/>
  <c r="L60" i="15" s="1"/>
  <c r="M17" i="15"/>
  <c r="M20" i="15" l="1"/>
  <c r="M233" i="17" s="1"/>
  <c r="M232" i="17"/>
  <c r="M21" i="15" l="1"/>
  <c r="R35" i="2" l="1"/>
  <c r="M225" i="17" s="1"/>
  <c r="R146" i="2"/>
  <c r="R37" i="2" l="1"/>
  <c r="R213" i="1" s="1"/>
  <c r="R174" i="1" l="1"/>
  <c r="M107" i="17" s="1"/>
  <c r="M140" i="17"/>
  <c r="R215" i="1"/>
  <c r="R120" i="1" l="1"/>
  <c r="R124" i="1" s="1"/>
  <c r="M71" i="17" s="1"/>
  <c r="M142" i="17"/>
  <c r="M39" i="15"/>
  <c r="S212" i="1"/>
  <c r="M42" i="15" l="1"/>
  <c r="M55" i="15" s="1"/>
  <c r="M59" i="15" s="1"/>
  <c r="M60" i="15" s="1"/>
  <c r="M239" i="17"/>
  <c r="M40" i="15"/>
  <c r="M68" i="17"/>
  <c r="S215" i="1"/>
  <c r="N139" i="17"/>
  <c r="N17" i="15"/>
  <c r="M240" i="17" l="1"/>
  <c r="N20" i="15"/>
  <c r="N21" i="15" s="1"/>
  <c r="N232" i="17"/>
  <c r="S120" i="1"/>
  <c r="N142" i="17"/>
  <c r="N42" i="15" l="1"/>
  <c r="N233" i="17"/>
  <c r="S124" i="1"/>
  <c r="N71" i="17" s="1"/>
  <c r="N68" i="17"/>
  <c r="N240" i="17" l="1"/>
  <c r="N55" i="15"/>
  <c r="N59" i="15" s="1"/>
  <c r="D49" i="15" l="1"/>
  <c r="C86" i="15" s="1"/>
  <c r="N60" i="15"/>
  <c r="C66" i="15"/>
  <c r="C67" i="15" s="1"/>
  <c r="C74" i="15" l="1"/>
  <c r="C68" i="15"/>
  <c r="C81" i="15"/>
  <c r="C82" i="15" s="1"/>
  <c r="C69" i="15"/>
  <c r="C84" i="15" l="1"/>
  <c r="C85" i="15"/>
  <c r="C70" i="15"/>
  <c r="C90" i="15" s="1"/>
  <c r="C72" i="15" l="1"/>
  <c r="C73" i="15"/>
  <c r="J40" i="2"/>
  <c r="J80" i="1" s="1"/>
  <c r="E54" i="17" s="1"/>
  <c r="C106" i="15" l="1"/>
  <c r="E262" i="17" s="1"/>
  <c r="E246" i="17"/>
  <c r="J175" i="1"/>
  <c r="J160" i="1"/>
  <c r="E96" i="17" s="1"/>
  <c r="J81" i="1"/>
  <c r="J92" i="1"/>
  <c r="C110" i="15" l="1"/>
  <c r="C126" i="15" s="1"/>
  <c r="E55" i="17"/>
  <c r="J95" i="1"/>
  <c r="J176" i="1"/>
  <c r="E109" i="17" s="1"/>
  <c r="E108" i="17"/>
  <c r="J93" i="1"/>
  <c r="E9" i="17" s="1"/>
  <c r="C116" i="15" l="1"/>
  <c r="C136" i="15"/>
  <c r="E266" i="17"/>
  <c r="J96" i="1"/>
  <c r="G38" i="10" s="1"/>
  <c r="G37" i="10" s="1"/>
  <c r="E56" i="17"/>
  <c r="J98" i="1"/>
  <c r="G40" i="10" l="1"/>
  <c r="G56" i="10" s="1"/>
  <c r="J156" i="1"/>
  <c r="J168" i="1" s="1"/>
  <c r="E57" i="17"/>
  <c r="E38" i="17"/>
  <c r="J189" i="2"/>
  <c r="J80" i="2" s="1"/>
  <c r="J99" i="1"/>
  <c r="J104" i="1"/>
  <c r="E14" i="17" s="1"/>
  <c r="J191" i="2"/>
  <c r="J82" i="2" s="1"/>
  <c r="G57" i="10" l="1"/>
  <c r="G60" i="10"/>
  <c r="G59" i="10"/>
  <c r="J105" i="1"/>
  <c r="E10" i="17"/>
  <c r="E104" i="17"/>
  <c r="E92" i="17"/>
  <c r="J185" i="1"/>
  <c r="J183" i="1"/>
  <c r="G62" i="10" l="1"/>
  <c r="G63" i="10"/>
  <c r="J147" i="1"/>
  <c r="E85" i="17" s="1"/>
  <c r="E115" i="17"/>
  <c r="E113" i="17"/>
  <c r="J332" i="1"/>
  <c r="E196" i="17" s="1"/>
  <c r="J145" i="1"/>
  <c r="E84" i="17" s="1"/>
  <c r="J338" i="1" l="1"/>
  <c r="J337" i="1"/>
  <c r="J180" i="1" l="1"/>
  <c r="E110" i="17" s="1"/>
  <c r="E199" i="17"/>
  <c r="J184" i="1"/>
  <c r="E200" i="17"/>
  <c r="J144" i="1"/>
  <c r="E114" i="17"/>
  <c r="J187" i="1"/>
  <c r="J136" i="1"/>
  <c r="E78" i="17" s="1"/>
  <c r="J141" i="1" l="1"/>
  <c r="E81" i="17" s="1"/>
  <c r="K341" i="1"/>
  <c r="J191" i="1"/>
  <c r="E117" i="17"/>
  <c r="J146" i="1"/>
  <c r="E83" i="17"/>
  <c r="K77" i="1" l="1"/>
  <c r="F202" i="17"/>
  <c r="J111" i="1"/>
  <c r="E119" i="17"/>
  <c r="J148" i="1"/>
  <c r="F34" i="17" l="1"/>
  <c r="K78" i="1"/>
  <c r="E86" i="17"/>
  <c r="E11" i="17"/>
  <c r="E31" i="17"/>
  <c r="J150" i="1"/>
  <c r="E62" i="17"/>
  <c r="K149" i="2"/>
  <c r="K40" i="2" s="1"/>
  <c r="K80" i="1" s="1"/>
  <c r="J117" i="1"/>
  <c r="E66" i="17" l="1"/>
  <c r="E27" i="17"/>
  <c r="J126" i="1"/>
  <c r="E17" i="17"/>
  <c r="E18" i="17"/>
  <c r="E87" i="17"/>
  <c r="E35" i="17"/>
  <c r="K175" i="1"/>
  <c r="F54" i="17"/>
  <c r="K160" i="1"/>
  <c r="F96" i="17" s="1"/>
  <c r="K92" i="1"/>
  <c r="K95" i="1" s="1"/>
  <c r="K81" i="1"/>
  <c r="F55" i="17" l="1"/>
  <c r="K93" i="1"/>
  <c r="F9" i="17" s="1"/>
  <c r="K98" i="1"/>
  <c r="K176" i="1"/>
  <c r="F109" i="17" s="1"/>
  <c r="F108" i="17"/>
  <c r="E12" i="17"/>
  <c r="E40" i="17"/>
  <c r="E72" i="17"/>
  <c r="E39" i="17"/>
  <c r="E25" i="17"/>
  <c r="E32" i="17"/>
  <c r="E13" i="17"/>
  <c r="E41" i="17" l="1"/>
  <c r="K156" i="1"/>
  <c r="K168" i="1" s="1"/>
  <c r="F57" i="17"/>
  <c r="F38" i="17"/>
  <c r="K99" i="1"/>
  <c r="K189" i="2"/>
  <c r="K80" i="2" s="1"/>
  <c r="K183" i="1" s="1"/>
  <c r="K145" i="1" s="1"/>
  <c r="F84" i="17" s="1"/>
  <c r="K104" i="1"/>
  <c r="F14" i="17" s="1"/>
  <c r="K191" i="2"/>
  <c r="K82" i="2" s="1"/>
  <c r="K185" i="1" s="1"/>
  <c r="K96" i="1"/>
  <c r="H38" i="10" s="1"/>
  <c r="H37" i="10" s="1"/>
  <c r="F56" i="17"/>
  <c r="H40" i="10" l="1"/>
  <c r="H56" i="10" s="1"/>
  <c r="K105" i="1"/>
  <c r="K147" i="1"/>
  <c r="F85" i="17" s="1"/>
  <c r="F115" i="17"/>
  <c r="F113" i="17"/>
  <c r="F10" i="17"/>
  <c r="F92" i="17"/>
  <c r="H60" i="10" l="1"/>
  <c r="H59" i="10"/>
  <c r="H57" i="10"/>
  <c r="F104" i="17"/>
  <c r="K332" i="1"/>
  <c r="F196" i="17" s="1"/>
  <c r="H63" i="10"/>
  <c r="H62" i="10"/>
  <c r="K338" i="1" l="1"/>
  <c r="K337" i="1"/>
  <c r="K184" i="1" l="1"/>
  <c r="F200" i="17"/>
  <c r="K180" i="1"/>
  <c r="F110" i="17" s="1"/>
  <c r="F199" i="17"/>
  <c r="K187" i="1"/>
  <c r="K144" i="1"/>
  <c r="F114" i="17"/>
  <c r="K136" i="1" l="1"/>
  <c r="F78" i="17" s="1"/>
  <c r="F83" i="17"/>
  <c r="K146" i="1"/>
  <c r="L341" i="1"/>
  <c r="K141" i="1"/>
  <c r="K191" i="1"/>
  <c r="F117" i="17"/>
  <c r="L77" i="1" l="1"/>
  <c r="G202" i="17"/>
  <c r="F81" i="17"/>
  <c r="K148" i="1"/>
  <c r="K111" i="1"/>
  <c r="F119" i="17"/>
  <c r="L78" i="1" l="1"/>
  <c r="G34" i="17"/>
  <c r="F62" i="17"/>
  <c r="L149" i="2"/>
  <c r="L40" i="2" s="1"/>
  <c r="L80" i="1" s="1"/>
  <c r="K117" i="1"/>
  <c r="F86" i="17"/>
  <c r="F11" i="17"/>
  <c r="K150" i="1"/>
  <c r="F31" i="17"/>
  <c r="F87" i="17" l="1"/>
  <c r="F35" i="17"/>
  <c r="F66" i="17"/>
  <c r="F27" i="17"/>
  <c r="F17" i="17"/>
  <c r="K126" i="1"/>
  <c r="F18" i="17"/>
  <c r="L175" i="1"/>
  <c r="L160" i="1"/>
  <c r="G96" i="17" s="1"/>
  <c r="L81" i="1"/>
  <c r="L92" i="1"/>
  <c r="L95" i="1" s="1"/>
  <c r="G54" i="17"/>
  <c r="F72" i="17" l="1"/>
  <c r="F40" i="17"/>
  <c r="F39" i="17"/>
  <c r="F25" i="17"/>
  <c r="F12" i="17"/>
  <c r="F32" i="17"/>
  <c r="F13" i="17"/>
  <c r="G55" i="17"/>
  <c r="L98" i="1"/>
  <c r="L93" i="1"/>
  <c r="G9" i="17" s="1"/>
  <c r="L176" i="1"/>
  <c r="G109" i="17" s="1"/>
  <c r="G108" i="17"/>
  <c r="G57" i="17" l="1"/>
  <c r="G38" i="17"/>
  <c r="L191" i="2"/>
  <c r="L82" i="2" s="1"/>
  <c r="L185" i="1" s="1"/>
  <c r="L156" i="1"/>
  <c r="L168" i="1" s="1"/>
  <c r="L99" i="1"/>
  <c r="L104" i="1"/>
  <c r="G14" i="17" s="1"/>
  <c r="L189" i="2"/>
  <c r="L80" i="2" s="1"/>
  <c r="L183" i="1" s="1"/>
  <c r="L96" i="1"/>
  <c r="I38" i="10" s="1"/>
  <c r="I37" i="10" s="1"/>
  <c r="G56" i="17"/>
  <c r="F41" i="17"/>
  <c r="I40" i="10" l="1"/>
  <c r="I56" i="10" s="1"/>
  <c r="G113" i="17"/>
  <c r="L105" i="1"/>
  <c r="G10" i="17"/>
  <c r="G92" i="17"/>
  <c r="L145" i="1"/>
  <c r="G84" i="17" s="1"/>
  <c r="L147" i="1"/>
  <c r="G85" i="17" s="1"/>
  <c r="G115" i="17"/>
  <c r="I60" i="10" l="1"/>
  <c r="I57" i="10"/>
  <c r="I59" i="10"/>
  <c r="I63" i="10"/>
  <c r="I62" i="10"/>
  <c r="G104" i="17"/>
  <c r="L332" i="1"/>
  <c r="G196" i="17" s="1"/>
  <c r="L337" i="1" l="1"/>
  <c r="L338" i="1"/>
  <c r="L184" i="1" l="1"/>
  <c r="G200" i="17"/>
  <c r="L180" i="1"/>
  <c r="G199" i="17"/>
  <c r="L144" i="1"/>
  <c r="G114" i="17"/>
  <c r="G110" i="17"/>
  <c r="L136" i="1"/>
  <c r="L187" i="1"/>
  <c r="L191" i="1" l="1"/>
  <c r="G117" i="17"/>
  <c r="G78" i="17"/>
  <c r="M341" i="1"/>
  <c r="L141" i="1"/>
  <c r="G83" i="17"/>
  <c r="L146" i="1"/>
  <c r="M77" i="1" l="1"/>
  <c r="H34" i="17" s="1"/>
  <c r="H202" i="17"/>
  <c r="L148" i="1"/>
  <c r="G31" i="17" s="1"/>
  <c r="G81" i="17"/>
  <c r="L150" i="1"/>
  <c r="G87" i="17" s="1"/>
  <c r="L111" i="1"/>
  <c r="G119" i="17"/>
  <c r="M78" i="1" l="1"/>
  <c r="G62" i="17"/>
  <c r="M149" i="2"/>
  <c r="M40" i="2" s="1"/>
  <c r="M80" i="1" s="1"/>
  <c r="L117" i="1"/>
  <c r="G35" i="17"/>
  <c r="G86" i="17"/>
  <c r="G11" i="17"/>
  <c r="G66" i="17" l="1"/>
  <c r="G27" i="17"/>
  <c r="G17" i="17"/>
  <c r="G18" i="17"/>
  <c r="L126" i="1"/>
  <c r="M175" i="1"/>
  <c r="M160" i="1"/>
  <c r="H96" i="17" s="1"/>
  <c r="M81" i="1"/>
  <c r="H54" i="17"/>
  <c r="M92" i="1"/>
  <c r="M95" i="1" s="1"/>
  <c r="H55" i="17" l="1"/>
  <c r="M93" i="1"/>
  <c r="H9" i="17" s="1"/>
  <c r="M98" i="1"/>
  <c r="G72" i="17"/>
  <c r="G40" i="17"/>
  <c r="G25" i="17"/>
  <c r="G39" i="17"/>
  <c r="G12" i="17"/>
  <c r="G32" i="17"/>
  <c r="G13" i="17"/>
  <c r="M176" i="1"/>
  <c r="H109" i="17" s="1"/>
  <c r="H108" i="17"/>
  <c r="G41" i="17" l="1"/>
  <c r="H57" i="17"/>
  <c r="H38" i="17"/>
  <c r="M189" i="2"/>
  <c r="M80" i="2" s="1"/>
  <c r="M183" i="1" s="1"/>
  <c r="M99" i="1"/>
  <c r="M104" i="1"/>
  <c r="H14" i="17" s="1"/>
  <c r="M191" i="2"/>
  <c r="M82" i="2" s="1"/>
  <c r="M185" i="1" s="1"/>
  <c r="M156" i="1"/>
  <c r="M168" i="1" s="1"/>
  <c r="M96" i="1"/>
  <c r="J38" i="10" s="1"/>
  <c r="J37" i="10" s="1"/>
  <c r="H56" i="17"/>
  <c r="J40" i="10" l="1"/>
  <c r="J56" i="10" s="1"/>
  <c r="H92" i="17"/>
  <c r="M145" i="1"/>
  <c r="H84" i="17" s="1"/>
  <c r="M105" i="1"/>
  <c r="H10" i="17"/>
  <c r="M147" i="1"/>
  <c r="H85" i="17" s="1"/>
  <c r="H115" i="17"/>
  <c r="H113" i="17"/>
  <c r="J59" i="10" l="1"/>
  <c r="J60" i="10"/>
  <c r="J57" i="10"/>
  <c r="J62" i="10" s="1"/>
  <c r="H104" i="17"/>
  <c r="M332" i="1"/>
  <c r="H196" i="17" s="1"/>
  <c r="J63" i="10"/>
  <c r="M338" i="1" l="1"/>
  <c r="M337" i="1"/>
  <c r="M184" i="1" l="1"/>
  <c r="H114" i="17" s="1"/>
  <c r="H200" i="17"/>
  <c r="M180" i="1"/>
  <c r="H110" i="17" s="1"/>
  <c r="H199" i="17"/>
  <c r="M136" i="1"/>
  <c r="M144" i="1" l="1"/>
  <c r="M187" i="1"/>
  <c r="H83" i="17"/>
  <c r="M146" i="1"/>
  <c r="H78" i="17"/>
  <c r="M141" i="1"/>
  <c r="N341" i="1"/>
  <c r="M191" i="1"/>
  <c r="H117" i="17"/>
  <c r="N77" i="1" l="1"/>
  <c r="I34" i="17" s="1"/>
  <c r="I202" i="17"/>
  <c r="M111" i="1"/>
  <c r="H119" i="17"/>
  <c r="H81" i="17"/>
  <c r="M148" i="1"/>
  <c r="N78" i="1" l="1"/>
  <c r="H86" i="17"/>
  <c r="H11" i="17"/>
  <c r="M150" i="1"/>
  <c r="H31" i="17"/>
  <c r="H62" i="17"/>
  <c r="M117" i="1"/>
  <c r="N149" i="2"/>
  <c r="N40" i="2" s="1"/>
  <c r="N80" i="1" s="1"/>
  <c r="H87" i="17" l="1"/>
  <c r="H35" i="17"/>
  <c r="N175" i="1"/>
  <c r="N81" i="1"/>
  <c r="N160" i="1"/>
  <c r="I96" i="17" s="1"/>
  <c r="I54" i="17"/>
  <c r="N92" i="1"/>
  <c r="N95" i="1" s="1"/>
  <c r="H66" i="17"/>
  <c r="H27" i="17"/>
  <c r="H17" i="17"/>
  <c r="H18" i="17"/>
  <c r="M126" i="1"/>
  <c r="H72" i="17" l="1"/>
  <c r="H40" i="17"/>
  <c r="H25" i="17"/>
  <c r="H39" i="17"/>
  <c r="H12" i="17"/>
  <c r="H32" i="17"/>
  <c r="H13" i="17"/>
  <c r="N176" i="1"/>
  <c r="I109" i="17" s="1"/>
  <c r="I108" i="17"/>
  <c r="I55" i="17"/>
  <c r="N93" i="1"/>
  <c r="I9" i="17" s="1"/>
  <c r="N98" i="1"/>
  <c r="H41" i="17" l="1"/>
  <c r="I38" i="17"/>
  <c r="I57" i="17"/>
  <c r="N189" i="2"/>
  <c r="N80" i="2" s="1"/>
  <c r="N183" i="1" s="1"/>
  <c r="N156" i="1"/>
  <c r="N168" i="1" s="1"/>
  <c r="N104" i="1"/>
  <c r="I14" i="17" s="1"/>
  <c r="N99" i="1"/>
  <c r="N191" i="2"/>
  <c r="N82" i="2" s="1"/>
  <c r="N185" i="1" s="1"/>
  <c r="N96" i="1"/>
  <c r="K38" i="10" s="1"/>
  <c r="K37" i="10" s="1"/>
  <c r="I56" i="17"/>
  <c r="K40" i="10" l="1"/>
  <c r="K56" i="10" s="1"/>
  <c r="I113" i="17"/>
  <c r="N147" i="1"/>
  <c r="I85" i="17" s="1"/>
  <c r="I115" i="17"/>
  <c r="I10" i="17"/>
  <c r="N105" i="1"/>
  <c r="I92" i="17"/>
  <c r="N145" i="1"/>
  <c r="I84" i="17" s="1"/>
  <c r="K60" i="10" l="1"/>
  <c r="K59" i="10"/>
  <c r="K57" i="10"/>
  <c r="I104" i="17"/>
  <c r="N332" i="1"/>
  <c r="I196" i="17" s="1"/>
  <c r="K63" i="10"/>
  <c r="K62" i="10"/>
  <c r="N337" i="1" l="1"/>
  <c r="N338" i="1"/>
  <c r="N184" i="1" l="1"/>
  <c r="I200" i="17"/>
  <c r="N180" i="1"/>
  <c r="I110" i="17" s="1"/>
  <c r="I199" i="17"/>
  <c r="N144" i="1"/>
  <c r="I114" i="17"/>
  <c r="N187" i="1"/>
  <c r="N136" i="1"/>
  <c r="I78" i="17" l="1"/>
  <c r="N141" i="1"/>
  <c r="O341" i="1"/>
  <c r="N191" i="1"/>
  <c r="I117" i="17"/>
  <c r="I83" i="17"/>
  <c r="N146" i="1"/>
  <c r="O77" i="1" l="1"/>
  <c r="J34" i="17" s="1"/>
  <c r="J202" i="17"/>
  <c r="O78" i="1"/>
  <c r="N111" i="1"/>
  <c r="I119" i="17"/>
  <c r="N148" i="1"/>
  <c r="I31" i="17" s="1"/>
  <c r="I81" i="17"/>
  <c r="N150" i="1"/>
  <c r="I87" i="17" s="1"/>
  <c r="I35" i="17" l="1"/>
  <c r="I86" i="17"/>
  <c r="I11" i="17"/>
  <c r="I62" i="17"/>
  <c r="O149" i="2"/>
  <c r="O40" i="2" s="1"/>
  <c r="O80" i="1" s="1"/>
  <c r="N117" i="1"/>
  <c r="I66" i="17" l="1"/>
  <c r="I27" i="17"/>
  <c r="N126" i="1"/>
  <c r="I17" i="17"/>
  <c r="I18" i="17"/>
  <c r="O175" i="1"/>
  <c r="O160" i="1"/>
  <c r="J96" i="17" s="1"/>
  <c r="O81" i="1"/>
  <c r="J54" i="17"/>
  <c r="O92" i="1"/>
  <c r="O95" i="1" s="1"/>
  <c r="J55" i="17" l="1"/>
  <c r="O93" i="1"/>
  <c r="J9" i="17" s="1"/>
  <c r="O98" i="1"/>
  <c r="O176" i="1"/>
  <c r="J109" i="17" s="1"/>
  <c r="J108" i="17"/>
  <c r="I72" i="17"/>
  <c r="I40" i="17"/>
  <c r="I39" i="17"/>
  <c r="I25" i="17"/>
  <c r="I12" i="17"/>
  <c r="I32" i="17"/>
  <c r="I13" i="17"/>
  <c r="I41" i="17" l="1"/>
  <c r="J57" i="17"/>
  <c r="J38" i="17"/>
  <c r="O156" i="1"/>
  <c r="O168" i="1" s="1"/>
  <c r="O99" i="1"/>
  <c r="O189" i="2"/>
  <c r="O80" i="2" s="1"/>
  <c r="O183" i="1" s="1"/>
  <c r="O191" i="2"/>
  <c r="O82" i="2" s="1"/>
  <c r="O185" i="1" s="1"/>
  <c r="O104" i="1"/>
  <c r="J14" i="17" s="1"/>
  <c r="O96" i="1"/>
  <c r="L38" i="10" s="1"/>
  <c r="L37" i="10" s="1"/>
  <c r="L40" i="10" s="1"/>
  <c r="L56" i="10" s="1"/>
  <c r="J56" i="17"/>
  <c r="L57" i="10" l="1"/>
  <c r="L59" i="10"/>
  <c r="L60" i="10"/>
  <c r="O105" i="1"/>
  <c r="O147" i="1"/>
  <c r="J85" i="17" s="1"/>
  <c r="J115" i="17"/>
  <c r="J113" i="17"/>
  <c r="J10" i="17"/>
  <c r="J92" i="17"/>
  <c r="O145" i="1"/>
  <c r="J84" i="17" s="1"/>
  <c r="L62" i="10" l="1"/>
  <c r="L63" i="10"/>
  <c r="J104" i="17"/>
  <c r="O332" i="1"/>
  <c r="J196" i="17" s="1"/>
  <c r="O337" i="1" l="1"/>
  <c r="O338" i="1"/>
  <c r="O184" i="1" l="1"/>
  <c r="J200" i="17"/>
  <c r="O180" i="1"/>
  <c r="J199" i="17"/>
  <c r="O144" i="1"/>
  <c r="J114" i="17"/>
  <c r="J110" i="17"/>
  <c r="O187" i="1"/>
  <c r="O136" i="1"/>
  <c r="J78" i="17" l="1"/>
  <c r="O141" i="1"/>
  <c r="P341" i="1"/>
  <c r="O191" i="1"/>
  <c r="J117" i="17"/>
  <c r="J83" i="17"/>
  <c r="O146" i="1"/>
  <c r="P77" i="1" l="1"/>
  <c r="K34" i="17" s="1"/>
  <c r="K202" i="17"/>
  <c r="O148" i="1"/>
  <c r="J31" i="17" s="1"/>
  <c r="O111" i="1"/>
  <c r="J119" i="17"/>
  <c r="J81" i="17"/>
  <c r="P78" i="1" l="1"/>
  <c r="O150" i="1"/>
  <c r="J87" i="17" s="1"/>
  <c r="J86" i="17"/>
  <c r="J11" i="17"/>
  <c r="J62" i="17"/>
  <c r="O117" i="1"/>
  <c r="P149" i="2"/>
  <c r="P40" i="2" s="1"/>
  <c r="P80" i="1" s="1"/>
  <c r="J35" i="17" l="1"/>
  <c r="P175" i="1"/>
  <c r="P81" i="1"/>
  <c r="P160" i="1"/>
  <c r="K96" i="17" s="1"/>
  <c r="P92" i="1"/>
  <c r="P95" i="1" s="1"/>
  <c r="K54" i="17"/>
  <c r="J66" i="17"/>
  <c r="J27" i="17"/>
  <c r="J18" i="17"/>
  <c r="J17" i="17"/>
  <c r="O126" i="1"/>
  <c r="J13" i="17" l="1"/>
  <c r="J72" i="17"/>
  <c r="J40" i="17"/>
  <c r="J25" i="17"/>
  <c r="J39" i="17"/>
  <c r="J12" i="17"/>
  <c r="J32" i="17"/>
  <c r="K55" i="17"/>
  <c r="P93" i="1"/>
  <c r="K9" i="17" s="1"/>
  <c r="P176" i="1"/>
  <c r="K109" i="17" s="1"/>
  <c r="K108" i="17"/>
  <c r="J41" i="17" l="1"/>
  <c r="P96" i="1"/>
  <c r="M38" i="10" s="1"/>
  <c r="M37" i="10" s="1"/>
  <c r="M40" i="10" s="1"/>
  <c r="M56" i="10" s="1"/>
  <c r="K56" i="17"/>
  <c r="P98" i="1"/>
  <c r="M57" i="10" l="1"/>
  <c r="M60" i="10"/>
  <c r="M59" i="10"/>
  <c r="K57" i="17"/>
  <c r="K38" i="17"/>
  <c r="P189" i="2"/>
  <c r="P80" i="2" s="1"/>
  <c r="P183" i="1" s="1"/>
  <c r="P156" i="1"/>
  <c r="P168" i="1" s="1"/>
  <c r="P104" i="1"/>
  <c r="K14" i="17" s="1"/>
  <c r="P99" i="1"/>
  <c r="P191" i="2"/>
  <c r="P82" i="2" s="1"/>
  <c r="P185" i="1" s="1"/>
  <c r="M63" i="10" l="1"/>
  <c r="M62" i="10"/>
  <c r="P147" i="1"/>
  <c r="K85" i="17" s="1"/>
  <c r="K115" i="17"/>
  <c r="K10" i="17"/>
  <c r="P105" i="1"/>
  <c r="K92" i="17"/>
  <c r="P145" i="1"/>
  <c r="K84" i="17" s="1"/>
  <c r="K113" i="17"/>
  <c r="K104" i="17" l="1"/>
  <c r="P332" i="1"/>
  <c r="K196" i="17" s="1"/>
  <c r="P338" i="1" l="1"/>
  <c r="P337" i="1"/>
  <c r="P184" i="1" l="1"/>
  <c r="K200" i="17"/>
  <c r="P180" i="1"/>
  <c r="K199" i="17"/>
  <c r="K110" i="17"/>
  <c r="P187" i="1"/>
  <c r="P136" i="1"/>
  <c r="P144" i="1"/>
  <c r="K114" i="17"/>
  <c r="K83" i="17" l="1"/>
  <c r="P146" i="1"/>
  <c r="K78" i="17"/>
  <c r="Q341" i="1"/>
  <c r="P141" i="1"/>
  <c r="P191" i="1"/>
  <c r="K117" i="17"/>
  <c r="Q77" i="1" l="1"/>
  <c r="L202" i="17"/>
  <c r="P111" i="1"/>
  <c r="K119" i="17"/>
  <c r="K81" i="17"/>
  <c r="L34" i="17"/>
  <c r="Q78" i="1"/>
  <c r="P148" i="1"/>
  <c r="K86" i="17" l="1"/>
  <c r="K11" i="17"/>
  <c r="K31" i="17"/>
  <c r="P150" i="1"/>
  <c r="K62" i="17"/>
  <c r="Q149" i="2"/>
  <c r="Q40" i="2" s="1"/>
  <c r="Q80" i="1" s="1"/>
  <c r="P117" i="1"/>
  <c r="K66" i="17" l="1"/>
  <c r="K27" i="17"/>
  <c r="K17" i="17"/>
  <c r="K18" i="17"/>
  <c r="P126" i="1"/>
  <c r="Q175" i="1"/>
  <c r="Q160" i="1"/>
  <c r="L96" i="17" s="1"/>
  <c r="Q81" i="1"/>
  <c r="Q92" i="1"/>
  <c r="Q95" i="1" s="1"/>
  <c r="L54" i="17"/>
  <c r="K87" i="17"/>
  <c r="K35" i="17"/>
  <c r="L55" i="17" l="1"/>
  <c r="Q93" i="1"/>
  <c r="L9" i="17" s="1"/>
  <c r="Q98" i="1"/>
  <c r="Q176" i="1"/>
  <c r="L109" i="17" s="1"/>
  <c r="L108" i="17"/>
  <c r="K40" i="17"/>
  <c r="K72" i="17"/>
  <c r="K25" i="17"/>
  <c r="K39" i="17"/>
  <c r="K12" i="17"/>
  <c r="K32" i="17"/>
  <c r="K13" i="17"/>
  <c r="K41" i="17" l="1"/>
  <c r="Q96" i="1"/>
  <c r="L56" i="17"/>
  <c r="L38" i="17"/>
  <c r="L57" i="17"/>
  <c r="Q156" i="1"/>
  <c r="Q168" i="1" s="1"/>
  <c r="Q189" i="2"/>
  <c r="Q80" i="2" s="1"/>
  <c r="Q183" i="1" s="1"/>
  <c r="Q99" i="1"/>
  <c r="Q104" i="1"/>
  <c r="L14" i="17" s="1"/>
  <c r="Q191" i="2"/>
  <c r="Q82" i="2" s="1"/>
  <c r="Q185" i="1" s="1"/>
  <c r="Q105" i="1" l="1"/>
  <c r="Q147" i="1"/>
  <c r="L85" i="17" s="1"/>
  <c r="L115" i="17"/>
  <c r="L10" i="17"/>
  <c r="L113" i="17"/>
  <c r="L92" i="17"/>
  <c r="Q145" i="1"/>
  <c r="L84" i="17" l="1"/>
  <c r="L104" i="17"/>
  <c r="Q332" i="1"/>
  <c r="L196" i="17" s="1"/>
  <c r="Q337" i="1" l="1"/>
  <c r="Q338" i="1"/>
  <c r="Q184" i="1" l="1"/>
  <c r="L200" i="17"/>
  <c r="Q180" i="1"/>
  <c r="Q187" i="1" s="1"/>
  <c r="L199" i="17"/>
  <c r="Q144" i="1"/>
  <c r="L114" i="17"/>
  <c r="L110" i="17"/>
  <c r="Q136" i="1" l="1"/>
  <c r="L78" i="17" s="1"/>
  <c r="R341" i="1"/>
  <c r="Q141" i="1"/>
  <c r="Q191" i="1"/>
  <c r="L117" i="17"/>
  <c r="L83" i="17"/>
  <c r="Q146" i="1"/>
  <c r="R77" i="1" l="1"/>
  <c r="M202" i="17"/>
  <c r="Q148" i="1"/>
  <c r="L31" i="17" s="1"/>
  <c r="Q111" i="1"/>
  <c r="L119" i="17"/>
  <c r="L81" i="17"/>
  <c r="M34" i="17"/>
  <c r="R78" i="1"/>
  <c r="Q150" i="1" l="1"/>
  <c r="L87" i="17" s="1"/>
  <c r="L62" i="17"/>
  <c r="R149" i="2"/>
  <c r="R40" i="2" s="1"/>
  <c r="R80" i="1" s="1"/>
  <c r="Q117" i="1"/>
  <c r="L86" i="17"/>
  <c r="L11" i="17"/>
  <c r="L35" i="17" l="1"/>
  <c r="R175" i="1"/>
  <c r="R81" i="1"/>
  <c r="R160" i="1"/>
  <c r="M96" i="17" s="1"/>
  <c r="M54" i="17"/>
  <c r="R92" i="1"/>
  <c r="R95" i="1" s="1"/>
  <c r="L66" i="17"/>
  <c r="L27" i="17"/>
  <c r="Q126" i="1"/>
  <c r="L18" i="17"/>
  <c r="L17" i="17"/>
  <c r="M55" i="17" l="1"/>
  <c r="R93" i="1"/>
  <c r="M9" i="17" s="1"/>
  <c r="R98" i="1"/>
  <c r="L40" i="17"/>
  <c r="L72" i="17"/>
  <c r="L25" i="17"/>
  <c r="L39" i="17"/>
  <c r="L12" i="17"/>
  <c r="L32" i="17"/>
  <c r="L13" i="17"/>
  <c r="R176" i="1"/>
  <c r="M109" i="17" s="1"/>
  <c r="M108" i="17"/>
  <c r="L41" i="17" l="1"/>
  <c r="M57" i="17"/>
  <c r="M38" i="17"/>
  <c r="R156" i="1"/>
  <c r="R168" i="1" s="1"/>
  <c r="R104" i="1"/>
  <c r="M14" i="17" s="1"/>
  <c r="R99" i="1"/>
  <c r="R189" i="2"/>
  <c r="R80" i="2" s="1"/>
  <c r="R183" i="1" s="1"/>
  <c r="R191" i="2"/>
  <c r="R82" i="2" s="1"/>
  <c r="R185" i="1" s="1"/>
  <c r="R96" i="1"/>
  <c r="M56" i="17"/>
  <c r="R147" i="1" l="1"/>
  <c r="M85" i="17" s="1"/>
  <c r="M115" i="17"/>
  <c r="M113" i="17"/>
  <c r="M10" i="17"/>
  <c r="R105" i="1"/>
  <c r="M92" i="17"/>
  <c r="R145" i="1"/>
  <c r="M84" i="17" l="1"/>
  <c r="M104" i="17"/>
  <c r="R332" i="1"/>
  <c r="M196" i="17" s="1"/>
  <c r="R338" i="1" l="1"/>
  <c r="R337" i="1"/>
  <c r="R184" i="1" l="1"/>
  <c r="M200" i="17"/>
  <c r="R180" i="1"/>
  <c r="M199" i="17"/>
  <c r="M110" i="17"/>
  <c r="R187" i="1"/>
  <c r="R136" i="1"/>
  <c r="R144" i="1"/>
  <c r="M114" i="17"/>
  <c r="M83" i="17" l="1"/>
  <c r="R146" i="1"/>
  <c r="M78" i="17"/>
  <c r="S341" i="1"/>
  <c r="R141" i="1"/>
  <c r="R191" i="1"/>
  <c r="M117" i="17"/>
  <c r="S77" i="1" l="1"/>
  <c r="N202" i="17"/>
  <c r="R111" i="1"/>
  <c r="M119" i="17"/>
  <c r="M81" i="17"/>
  <c r="N34" i="17"/>
  <c r="S78" i="1"/>
  <c r="R148" i="1"/>
  <c r="R150" i="1" s="1"/>
  <c r="M87" i="17" l="1"/>
  <c r="M35" i="17"/>
  <c r="M86" i="17"/>
  <c r="M11" i="17"/>
  <c r="M31" i="17"/>
  <c r="M62" i="17"/>
  <c r="S149" i="2"/>
  <c r="S40" i="2" s="1"/>
  <c r="S80" i="1" s="1"/>
  <c r="R117" i="1"/>
  <c r="M66" i="17" l="1"/>
  <c r="M27" i="17"/>
  <c r="M17" i="17"/>
  <c r="M18" i="17"/>
  <c r="R126" i="1"/>
  <c r="S175" i="1"/>
  <c r="S160" i="1"/>
  <c r="N96" i="17" s="1"/>
  <c r="S81" i="1"/>
  <c r="N54" i="17"/>
  <c r="S92" i="1"/>
  <c r="S95" i="1" s="1"/>
  <c r="N55" i="17" l="1"/>
  <c r="S93" i="1"/>
  <c r="N9" i="17" s="1"/>
  <c r="S98" i="1"/>
  <c r="S176" i="1"/>
  <c r="N109" i="17" s="1"/>
  <c r="N108" i="17"/>
  <c r="M13" i="17"/>
  <c r="M40" i="17"/>
  <c r="M72" i="17"/>
  <c r="M25" i="17"/>
  <c r="M39" i="17"/>
  <c r="M12" i="17"/>
  <c r="M32" i="17"/>
  <c r="M41" i="17" l="1"/>
  <c r="N57" i="17"/>
  <c r="N38" i="17"/>
  <c r="S156" i="1"/>
  <c r="S168" i="1" s="1"/>
  <c r="S189" i="2"/>
  <c r="S80" i="2" s="1"/>
  <c r="S183" i="1" s="1"/>
  <c r="S99" i="1"/>
  <c r="S104" i="1"/>
  <c r="N14" i="17" s="1"/>
  <c r="S191" i="2"/>
  <c r="S82" i="2" s="1"/>
  <c r="S185" i="1" s="1"/>
  <c r="S96" i="1"/>
  <c r="N56" i="17"/>
  <c r="S147" i="1" l="1"/>
  <c r="N85" i="17" s="1"/>
  <c r="N115" i="17"/>
  <c r="S105" i="1"/>
  <c r="N10" i="17"/>
  <c r="N113" i="17"/>
  <c r="N92" i="17"/>
  <c r="S145" i="1"/>
  <c r="N84" i="17" s="1"/>
  <c r="N104" i="17" l="1"/>
  <c r="S332" i="1"/>
  <c r="N196" i="17" s="1"/>
  <c r="S337" i="1" l="1"/>
  <c r="S338" i="1"/>
  <c r="S184" i="1" l="1"/>
  <c r="N200" i="17"/>
  <c r="S180" i="1"/>
  <c r="N199" i="17"/>
  <c r="S144" i="1"/>
  <c r="N114" i="17"/>
  <c r="N110" i="17"/>
  <c r="S187" i="1"/>
  <c r="S136" i="1"/>
  <c r="N78" i="17" l="1"/>
  <c r="S141" i="1"/>
  <c r="S191" i="1"/>
  <c r="N117" i="17"/>
  <c r="S146" i="1"/>
  <c r="N83" i="17"/>
  <c r="S148" i="1" l="1"/>
  <c r="S150" i="1" s="1"/>
  <c r="S111" i="1"/>
  <c r="N119" i="17"/>
  <c r="N81" i="17"/>
  <c r="N31" i="17" l="1"/>
  <c r="N87" i="17"/>
  <c r="N35" i="17"/>
  <c r="N62" i="17"/>
  <c r="S117" i="1"/>
  <c r="N86" i="17"/>
  <c r="N11" i="17"/>
  <c r="N66" i="17" l="1"/>
  <c r="N27" i="17"/>
  <c r="S126" i="1"/>
  <c r="N17" i="17"/>
  <c r="N18" i="17"/>
  <c r="N12" i="17" l="1"/>
  <c r="N40" i="17"/>
  <c r="N72" i="17"/>
  <c r="N39" i="17"/>
  <c r="N25" i="17"/>
  <c r="N32" i="17"/>
  <c r="N13" i="17"/>
  <c r="N41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Bekhuis</author>
  </authors>
  <commentList>
    <comment ref="C91" authorId="0" shapeId="0" xr:uid="{548F2983-EC46-4301-A07F-DAA338908B67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92" authorId="0" shapeId="0" xr:uid="{33903801-2161-4027-9C94-FB64590908AC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2024</t>
        </r>
      </text>
    </comment>
    <comment ref="C93" authorId="0" shapeId="0" xr:uid="{02AD38F7-0CDD-47D7-AA48-C7624952BBB7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2024</t>
        </r>
      </text>
    </comment>
    <comment ref="C94" authorId="0" shapeId="0" xr:uid="{2CA2B68D-E4E5-4BFF-BF8C-F209BF56FD8E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2024</t>
        </r>
      </text>
    </comment>
    <comment ref="C95" authorId="0" shapeId="0" xr:uid="{1CF2503C-890B-4759-836B-95C72B18B8DF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96" authorId="0" shapeId="0" xr:uid="{69EDD374-368D-4ADA-90E4-1AFD57BF05C2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97" authorId="0" shapeId="0" xr:uid="{FE75AFEB-39B5-4B7A-88CF-C78C95B2769E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98" authorId="0" shapeId="0" xr:uid="{49117BBD-F35F-4302-8108-C20EBEC703BE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99" authorId="0" shapeId="0" xr:uid="{080D3251-F73A-4F92-B3CA-9809313353C2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100" authorId="0" shapeId="0" xr:uid="{20EF7085-AE8C-4444-8305-077EAD4EABA1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101" authorId="0" shapeId="0" xr:uid="{C398FE18-1B94-4345-9AAB-FB3F9F24D1A2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102" authorId="0" shapeId="0" xr:uid="{3DEB8D57-C336-4699-8244-BEA21BC86882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103" authorId="0" shapeId="0" xr:uid="{03BD53D9-F23F-4AD8-9D35-BC36DA777436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104" authorId="0" shapeId="0" xr:uid="{D1F39672-B09B-4029-B501-A47564029D41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C105" authorId="0" shapeId="0" xr:uid="{BFA1531F-4C74-4A85-B359-E5B6C63989A0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2025H1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Bekhuis</author>
  </authors>
  <commentList>
    <comment ref="J135" authorId="0" shapeId="0" xr:uid="{B3AF8FF5-7295-4166-9846-7CD4CAF752A7}">
      <text>
        <r>
          <rPr>
            <b/>
            <sz val="9"/>
            <color indexed="81"/>
            <rFont val="Tahoma"/>
            <family val="2"/>
          </rPr>
          <t xml:space="preserve">Tom Bekhuis
</t>
        </r>
        <r>
          <rPr>
            <sz val="9"/>
            <color indexed="81"/>
            <rFont val="Tahoma"/>
            <family val="2"/>
          </rPr>
          <t>Fast Forward investment of 120 - 150 CHF</t>
        </r>
      </text>
    </comment>
    <comment ref="K135" authorId="0" shapeId="0" xr:uid="{991A5388-5C94-4D9B-88CF-706FA6FB9391}">
      <text>
        <r>
          <rPr>
            <b/>
            <sz val="9"/>
            <color indexed="81"/>
            <rFont val="Tahoma"/>
            <family val="2"/>
          </rPr>
          <t xml:space="preserve">Tom Bekhuis
</t>
        </r>
        <r>
          <rPr>
            <sz val="9"/>
            <color indexed="81"/>
            <rFont val="Tahoma"/>
            <family val="2"/>
          </rPr>
          <t>Fast Forward investment of 120 - 150 CHF</t>
        </r>
      </text>
    </comment>
    <comment ref="L135" authorId="0" shapeId="0" xr:uid="{325EA546-92C5-48F9-B7DC-89EAEC4440D7}">
      <text>
        <r>
          <rPr>
            <b/>
            <sz val="9"/>
            <color indexed="81"/>
            <rFont val="Tahoma"/>
            <family val="2"/>
          </rPr>
          <t xml:space="preserve">Tom Bekhuis
</t>
        </r>
        <r>
          <rPr>
            <sz val="9"/>
            <color indexed="81"/>
            <rFont val="Tahoma"/>
            <family val="2"/>
          </rPr>
          <t>Fast Forward investment of 120 - 150 CHF</t>
        </r>
      </text>
    </comment>
    <comment ref="M135" authorId="0" shapeId="0" xr:uid="{DA2EF532-AA9B-44B2-AF43-4616F2531075}">
      <text>
        <r>
          <rPr>
            <b/>
            <sz val="9"/>
            <color indexed="81"/>
            <rFont val="Tahoma"/>
            <family val="2"/>
          </rPr>
          <t xml:space="preserve">Tom Bekhuis
</t>
        </r>
        <r>
          <rPr>
            <sz val="9"/>
            <color indexed="81"/>
            <rFont val="Tahoma"/>
            <family val="2"/>
          </rPr>
          <t>Fast Forward investment of 120 - 150 CHF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Bekhuis</author>
  </authors>
  <commentList>
    <comment ref="E247" authorId="0" shapeId="0" xr:uid="{E8BAFEC5-B622-47A4-B4E6-5D25C657519C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48" authorId="0" shapeId="0" xr:uid="{342B77AD-4EB5-4828-9A76-C39F33363FB6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2024</t>
        </r>
      </text>
    </comment>
    <comment ref="E249" authorId="0" shapeId="0" xr:uid="{C4D7674A-2DC5-4EA8-B819-5981BBFCEC09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2024</t>
        </r>
      </text>
    </comment>
    <comment ref="E250" authorId="0" shapeId="0" xr:uid="{3163AC8D-64B0-4D4E-8E37-4CBBE121C653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2024</t>
        </r>
      </text>
    </comment>
    <comment ref="E251" authorId="0" shapeId="0" xr:uid="{CEE5AECF-D47F-4722-AA1E-957DA94A4215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2" authorId="0" shapeId="0" xr:uid="{ADBE466E-A46F-4CD9-AE3A-AEC78E5D8C13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3" authorId="0" shapeId="0" xr:uid="{5F2303BA-031B-4393-9F95-E5B7329CD6D8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4" authorId="0" shapeId="0" xr:uid="{6968FE02-FF1E-469B-A3C7-F81CAE9DAA21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5" authorId="0" shapeId="0" xr:uid="{04ECE2AF-74EC-4740-BCA6-0F77555D89B5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6" authorId="0" shapeId="0" xr:uid="{C780BEBE-BAC3-4AEF-9D77-DF957E1DE032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7" authorId="0" shapeId="0" xr:uid="{3A5FFB39-CC3B-401F-905B-FAFB8487BD31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8" authorId="0" shapeId="0" xr:uid="{C647576C-4009-42F7-9C30-E16AC5BB5C3B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59" authorId="0" shapeId="0" xr:uid="{846FEA37-8AEC-4A3C-B17D-5D98913A5A35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  <comment ref="E260" authorId="0" shapeId="0" xr:uid="{A1764B3A-ADD3-4BF2-B263-9FA4981CB633}">
      <text>
        <r>
          <rPr>
            <b/>
            <sz val="9"/>
            <color indexed="81"/>
            <rFont val="Tahoma"/>
            <family val="2"/>
          </rPr>
          <t>Tom Bekhuis:</t>
        </r>
        <r>
          <rPr>
            <sz val="9"/>
            <color indexed="81"/>
            <rFont val="Tahoma"/>
            <family val="2"/>
          </rPr>
          <t xml:space="preserve">
2025 H1</t>
        </r>
      </text>
    </comment>
  </commentList>
</comments>
</file>

<file path=xl/sharedStrings.xml><?xml version="1.0" encoding="utf-8"?>
<sst xmlns="http://schemas.openxmlformats.org/spreadsheetml/2006/main" count="929" uniqueCount="435">
  <si>
    <t>x</t>
  </si>
  <si>
    <t>Income Statement</t>
  </si>
  <si>
    <t>Revenue</t>
  </si>
  <si>
    <t>EMEA</t>
  </si>
  <si>
    <t>% growth</t>
  </si>
  <si>
    <t>% of revenue</t>
  </si>
  <si>
    <t>Americas</t>
  </si>
  <si>
    <t>Asia/Pacific</t>
  </si>
  <si>
    <t>Global Business</t>
  </si>
  <si>
    <t xml:space="preserve">% growth </t>
  </si>
  <si>
    <t>COGS</t>
  </si>
  <si>
    <t>Cost of Goods Sold</t>
  </si>
  <si>
    <t>Gross Profit</t>
  </si>
  <si>
    <t>Gross margin %</t>
  </si>
  <si>
    <t>OpEx</t>
  </si>
  <si>
    <t>Personnel Expenses</t>
  </si>
  <si>
    <t>Production and Operations</t>
  </si>
  <si>
    <t>Logistics and Distribution</t>
  </si>
  <si>
    <t>Sales, Marketing and Travel Costs</t>
  </si>
  <si>
    <t>Administration Costs</t>
  </si>
  <si>
    <t>Operating Expenses</t>
  </si>
  <si>
    <t>EBITDA</t>
  </si>
  <si>
    <t>Depreciation and Amortization</t>
  </si>
  <si>
    <t>Depreciation</t>
  </si>
  <si>
    <t>Amortization</t>
  </si>
  <si>
    <t>Impairment</t>
  </si>
  <si>
    <t>EBIT</t>
  </si>
  <si>
    <t>Interest and Taxes</t>
  </si>
  <si>
    <t>Interest Expense</t>
  </si>
  <si>
    <t>Interest Income</t>
  </si>
  <si>
    <t xml:space="preserve">Other Financial Income </t>
  </si>
  <si>
    <t>Other Financial Expenses</t>
  </si>
  <si>
    <t>Income from Associated Companies</t>
  </si>
  <si>
    <t>EBT</t>
  </si>
  <si>
    <t>Taxes</t>
  </si>
  <si>
    <t>% tax rate</t>
  </si>
  <si>
    <t>Net Income</t>
  </si>
  <si>
    <t>Net income to NCI</t>
  </si>
  <si>
    <t>Net income to parent</t>
  </si>
  <si>
    <t>Days in period</t>
  </si>
  <si>
    <t>X</t>
  </si>
  <si>
    <t>Balance Sheet</t>
  </si>
  <si>
    <t>Cash and cash equivalents</t>
  </si>
  <si>
    <t>Accounts receivable</t>
  </si>
  <si>
    <t>Inventories</t>
  </si>
  <si>
    <t>Prepaid expense and accrued income</t>
  </si>
  <si>
    <t>Other current assets</t>
  </si>
  <si>
    <t>Assets classified as held for sale</t>
  </si>
  <si>
    <t>Current assets</t>
  </si>
  <si>
    <t>Property, plant and equipment</t>
  </si>
  <si>
    <t>Intangible assets</t>
  </si>
  <si>
    <t>Investments in associated companies</t>
  </si>
  <si>
    <t>Deferred tax assets</t>
  </si>
  <si>
    <t>Other non-current assets</t>
  </si>
  <si>
    <t>Non-current assets</t>
  </si>
  <si>
    <t>Assets</t>
  </si>
  <si>
    <t>Accounts payable</t>
  </si>
  <si>
    <t>Accrued expenses and deferred income</t>
  </si>
  <si>
    <t>Financial liabilities</t>
  </si>
  <si>
    <t>Income tax liabilities</t>
  </si>
  <si>
    <t>Provisions</t>
  </si>
  <si>
    <t>Liabilities classified as held for sale</t>
  </si>
  <si>
    <t>Current liabilities</t>
  </si>
  <si>
    <t>Deferred tax liabilities</t>
  </si>
  <si>
    <t>Employee benefit obligations</t>
  </si>
  <si>
    <t>Other liabilities</t>
  </si>
  <si>
    <t>Non-current liabilities</t>
  </si>
  <si>
    <t>Capital stock</t>
  </si>
  <si>
    <t>Treasury shares</t>
  </si>
  <si>
    <t>Reserves</t>
  </si>
  <si>
    <t>Equity attributable to Sika shareholders</t>
  </si>
  <si>
    <t>Non-controlling interest</t>
  </si>
  <si>
    <t>Shareholders' Equity</t>
  </si>
  <si>
    <t>Liabilities and Shareholders' Equity</t>
  </si>
  <si>
    <t>Cash Flow Statement</t>
  </si>
  <si>
    <t>Cash Flow from Operations</t>
  </si>
  <si>
    <t>Reversal of NCI net income</t>
  </si>
  <si>
    <t>Depreciation &amp; Amortization</t>
  </si>
  <si>
    <t>Cash from Investing Activities</t>
  </si>
  <si>
    <t>CapEx property, plant and equipment</t>
  </si>
  <si>
    <t>New Intangibles</t>
  </si>
  <si>
    <t>M&amp;A investment</t>
  </si>
  <si>
    <t>Interest received</t>
  </si>
  <si>
    <t>Cash from Financing Activities</t>
  </si>
  <si>
    <t>Common dividends</t>
  </si>
  <si>
    <t>Dividends to NCI</t>
  </si>
  <si>
    <t>FX rate effects</t>
  </si>
  <si>
    <t>Total Change in Cash</t>
  </si>
  <si>
    <t>Supporting Schedules</t>
  </si>
  <si>
    <t>PP&amp;E Schedule</t>
  </si>
  <si>
    <t>Own property, plant and equipment opening</t>
  </si>
  <si>
    <t>CapEx</t>
  </si>
  <si>
    <t xml:space="preserve">Own property, plant and equipment closing </t>
  </si>
  <si>
    <t>Right-of-use assets opening</t>
  </si>
  <si>
    <t>Right-of-use assets closing</t>
  </si>
  <si>
    <t>Intangible assets opening</t>
  </si>
  <si>
    <t>Intangible assets closing</t>
  </si>
  <si>
    <t>Goodwill opening</t>
  </si>
  <si>
    <t>M&amp;A Investments</t>
  </si>
  <si>
    <t>Goodwill closing</t>
  </si>
  <si>
    <t>D&amp;A Schedule</t>
  </si>
  <si>
    <t>Key assumptions</t>
  </si>
  <si>
    <t>Useful lfie</t>
  </si>
  <si>
    <t>Own PP&amp;E</t>
  </si>
  <si>
    <t>ROU Assets</t>
  </si>
  <si>
    <t>Intagibles (excl. goodwill)</t>
  </si>
  <si>
    <t>Average age</t>
  </si>
  <si>
    <t>Existing fixed assets</t>
  </si>
  <si>
    <t>Intangibles (excl. goodwil)</t>
  </si>
  <si>
    <t>Capital Expenditures</t>
  </si>
  <si>
    <t>Intangibles (excl. goodwill)</t>
  </si>
  <si>
    <t>Total</t>
  </si>
  <si>
    <t>as % of revenue</t>
  </si>
  <si>
    <t>D&amp;A on existing</t>
  </si>
  <si>
    <t>Deprecitaion on own PP&amp;E Capex</t>
  </si>
  <si>
    <t>Depreciation on own PP&amp;E Capex -  2025</t>
  </si>
  <si>
    <t>Depreciation on own PP&amp;E Capex -  2026</t>
  </si>
  <si>
    <t>Depreciation on own PP&amp;E Capex -  2027</t>
  </si>
  <si>
    <t>Depreciation on own PP&amp;E Capex -  2028</t>
  </si>
  <si>
    <t>Depreciation on own PP&amp;E Capex -  2029</t>
  </si>
  <si>
    <t>Depreciation on own PP&amp;E Capex -  2030</t>
  </si>
  <si>
    <t>Depreciation on own PP&amp;E Capex -  2031</t>
  </si>
  <si>
    <t>Depreciation on own PP&amp;E Capex -  2032</t>
  </si>
  <si>
    <t>Depreciation on own PP&amp;E Capex -  2033</t>
  </si>
  <si>
    <t>Depreciation on own PP&amp;E Capex -  2034</t>
  </si>
  <si>
    <t>Depreciation on ROU Assets</t>
  </si>
  <si>
    <t>Depreciation on ROU Assets - 2025</t>
  </si>
  <si>
    <t>Depreciation on ROU Assets - 2026</t>
  </si>
  <si>
    <t>Depreciation on ROU Assets - 2027</t>
  </si>
  <si>
    <t>Depreciation on ROU Assets - 2028</t>
  </si>
  <si>
    <t>Depreciation on ROU Assets - 2029</t>
  </si>
  <si>
    <t>Depreciation on ROU Assets - 2030</t>
  </si>
  <si>
    <t>Depreciation on ROU Assets - 2031</t>
  </si>
  <si>
    <t>Depreciation on ROU Assets - 2032</t>
  </si>
  <si>
    <t>Depreciation on ROU Assets - 2033</t>
  </si>
  <si>
    <t>Depreciation on ROU Assets - 2034</t>
  </si>
  <si>
    <t>Amortization on Intangibles</t>
  </si>
  <si>
    <t>Amortization on Intangibles (excl. goodwill) - 2025</t>
  </si>
  <si>
    <t>Amortization on Intangibles (excl. goodwill) - 2026</t>
  </si>
  <si>
    <t>Amortization on Intangibles (excl. goodwill) - 2027</t>
  </si>
  <si>
    <t>Amortization on Intangibles (excl. goodwill) - 2028</t>
  </si>
  <si>
    <t>Amortization on Intangibles (excl. goodwill) - 2029</t>
  </si>
  <si>
    <t>Amortization on Intangibles (excl. goodwill) - 2030</t>
  </si>
  <si>
    <t>Amortization on Intangibles (excl. goodwill) - 2031</t>
  </si>
  <si>
    <t>Amortization on Intangibles (excl. goodwill) - 2032</t>
  </si>
  <si>
    <t>Amortization on Intangibles (excl. goodwill) - 2033</t>
  </si>
  <si>
    <t>Amortization on Intangibles (excl. goodwill) - 2034</t>
  </si>
  <si>
    <t>Depreciation and Amortization on New</t>
  </si>
  <si>
    <t>Depreciation and Amortization on New - 2025</t>
  </si>
  <si>
    <t>Depreciation and Amortization on New - 2026</t>
  </si>
  <si>
    <t>Depreciation and Amortization on New - 2027</t>
  </si>
  <si>
    <t>Depreciation and Amortization on New - 2028</t>
  </si>
  <si>
    <t>Depreciation and Amortization on New - 2029</t>
  </si>
  <si>
    <t>Depreciation and Amortization on New - 2030</t>
  </si>
  <si>
    <t>Depreciation and Amortization on New - 2031</t>
  </si>
  <si>
    <t>Depreciation and Amortization on New - 2032</t>
  </si>
  <si>
    <t>Depreciation and Amortization on New - 2033</t>
  </si>
  <si>
    <t>Depreciation and Amortization on New - 2024</t>
  </si>
  <si>
    <t>Total D&amp;A</t>
  </si>
  <si>
    <t>Total Amortization</t>
  </si>
  <si>
    <t>Working Capital Schedule</t>
  </si>
  <si>
    <t>Account receivable days</t>
  </si>
  <si>
    <t>Inventory days</t>
  </si>
  <si>
    <t>Accounts payables</t>
  </si>
  <si>
    <t>Account payable days</t>
  </si>
  <si>
    <t>Debt Schedule</t>
  </si>
  <si>
    <t>Miniumum cash</t>
  </si>
  <si>
    <t>Excess cash</t>
  </si>
  <si>
    <t>% of Stock Repurchases</t>
  </si>
  <si>
    <t>% of Debt repayment</t>
  </si>
  <si>
    <t>Change in Debt</t>
  </si>
  <si>
    <t>Stock repurchases</t>
  </si>
  <si>
    <t>Interest rate (%)</t>
  </si>
  <si>
    <t>Interest expense</t>
  </si>
  <si>
    <t>Free Cash Flow to Firm</t>
  </si>
  <si>
    <t>D&amp;A</t>
  </si>
  <si>
    <t>NOPAT</t>
  </si>
  <si>
    <t>CapEx intangibles</t>
  </si>
  <si>
    <t>M&amp;A investments</t>
  </si>
  <si>
    <t>FCFF</t>
  </si>
  <si>
    <t>Last fiscal year end</t>
  </si>
  <si>
    <t>End of the first fiscal year</t>
  </si>
  <si>
    <t>Valuation date</t>
  </si>
  <si>
    <t>Fraction of first year cash flows forecast =&gt; Stub period</t>
  </si>
  <si>
    <t>FCF in the last year of explicit forecast 2034</t>
  </si>
  <si>
    <t>EBITDA in last year of explicit forecast 2034</t>
  </si>
  <si>
    <t>WACC</t>
  </si>
  <si>
    <t>Fiscal year ended</t>
  </si>
  <si>
    <t>Val date</t>
  </si>
  <si>
    <t>Date for disocunting cash flows - mid of the year</t>
  </si>
  <si>
    <t>Unlevered FCF - adjusted for the stub perriod</t>
  </si>
  <si>
    <t>Present value of unlevered free cash flows - mid of the year</t>
  </si>
  <si>
    <t>Mid of year assumption discounting year</t>
  </si>
  <si>
    <t>Terminal value - perpetuity growth</t>
  </si>
  <si>
    <t>Growth rate in perpetuity</t>
  </si>
  <si>
    <t>2034 FCF x (1+g)</t>
  </si>
  <si>
    <t>Terminal value in 2034</t>
  </si>
  <si>
    <t>Present value of terminal value</t>
  </si>
  <si>
    <t>Present value of FCF - Explicit forecast</t>
  </si>
  <si>
    <t>Enterpise Value (EV)</t>
  </si>
  <si>
    <t>Terminal value as of TEV</t>
  </si>
  <si>
    <t>FCF as % of EV</t>
  </si>
  <si>
    <t>Emplied TV exit EBITDA multiple</t>
  </si>
  <si>
    <t>Terminal value - EBITDA multiple approach</t>
  </si>
  <si>
    <t>Ebitda in last year of explicit forecast 2034</t>
  </si>
  <si>
    <t>EBITDA multiple</t>
  </si>
  <si>
    <t>Present vlaue of terminal value</t>
  </si>
  <si>
    <t>Present value of FCF - explicit forecast</t>
  </si>
  <si>
    <t>Enterprise value (EV)</t>
  </si>
  <si>
    <t>Terminal value as % of TEV</t>
  </si>
  <si>
    <t>FCF as % of TEV</t>
  </si>
  <si>
    <t>Implied perpetuity growth rate</t>
  </si>
  <si>
    <t>Enterprise value to equity value bridge</t>
  </si>
  <si>
    <t>Enterprise value</t>
  </si>
  <si>
    <t>(+) Cash and cash equivalents</t>
  </si>
  <si>
    <t>(+) Securities</t>
  </si>
  <si>
    <t>(+) Derivatives</t>
  </si>
  <si>
    <t>(+) Employee benefit assets</t>
  </si>
  <si>
    <t>(+) Deferred tax assets</t>
  </si>
  <si>
    <t>(+) Investments in associated companies</t>
  </si>
  <si>
    <t>(-) Derivatives</t>
  </si>
  <si>
    <t>(-) Bank loans</t>
  </si>
  <si>
    <t>(-) Lease liabilities</t>
  </si>
  <si>
    <t>(-) Straight bonds</t>
  </si>
  <si>
    <t>(-) Other financial liabilities</t>
  </si>
  <si>
    <t>(-) Non-controlling interest</t>
  </si>
  <si>
    <t>(-) Employee benefit obligations</t>
  </si>
  <si>
    <t>(-) Deferred tax liabilities</t>
  </si>
  <si>
    <t>(-) Provisions</t>
  </si>
  <si>
    <t>Implied equity value</t>
  </si>
  <si>
    <t>Basic shares outstanding (million)</t>
  </si>
  <si>
    <t>Treasury shares (million)</t>
  </si>
  <si>
    <t>Diluted shares outstanding (million)</t>
  </si>
  <si>
    <t>Implied share price</t>
  </si>
  <si>
    <t>Sensitivity analysis on per share value</t>
  </si>
  <si>
    <t>2029 EBITDA Margin</t>
  </si>
  <si>
    <t>Terminal growht rate</t>
  </si>
  <si>
    <t>EXIT Mulitple</t>
  </si>
  <si>
    <t>Working Case</t>
  </si>
  <si>
    <t>Management</t>
  </si>
  <si>
    <t>Assumptions</t>
  </si>
  <si>
    <t>EMEA (% growth)</t>
  </si>
  <si>
    <t>Americas (% growth)</t>
  </si>
  <si>
    <t>Asia/Pacific (% growth)</t>
  </si>
  <si>
    <t>Global Business (% growth)</t>
  </si>
  <si>
    <t>Cost of Goods Sold (% of revenue)</t>
  </si>
  <si>
    <t>Personnel Expenses (% of revenue)</t>
  </si>
  <si>
    <t>Production and Operations (% of revenue)</t>
  </si>
  <si>
    <t>Logistics and Distribution (% of revenue)</t>
  </si>
  <si>
    <t>Sales, Marketing and Travel Costs (% of revenue)</t>
  </si>
  <si>
    <t>Administration Costs (% of revenue)</t>
  </si>
  <si>
    <t>Own property, plant and equipment</t>
  </si>
  <si>
    <t>Right-of-use assets</t>
  </si>
  <si>
    <t>% of revenu</t>
  </si>
  <si>
    <t>% revenue growth trough M&amp;A</t>
  </si>
  <si>
    <t>Revenue growth through M&amp;A</t>
  </si>
  <si>
    <t>Average EV/Revenue multiple M&amp;A</t>
  </si>
  <si>
    <t>Interest</t>
  </si>
  <si>
    <t>Implied Interest rate %</t>
  </si>
  <si>
    <t>% of investments in associated companies</t>
  </si>
  <si>
    <t>Tax rate (% of EBT)</t>
  </si>
  <si>
    <t>Impairment (% or revenue)</t>
  </si>
  <si>
    <t>NCI net income</t>
  </si>
  <si>
    <t>Working Captial</t>
  </si>
  <si>
    <t>Dividends</t>
  </si>
  <si>
    <t>%  of net income</t>
  </si>
  <si>
    <t>% of net income</t>
  </si>
  <si>
    <t>Other Balance Sheet Items</t>
  </si>
  <si>
    <t>Employee benefit obligation</t>
  </si>
  <si>
    <t>Cash distribution</t>
  </si>
  <si>
    <t>Minimum cash (as % of revenue)</t>
  </si>
  <si>
    <t>% of Stock repurchases</t>
  </si>
  <si>
    <t>--</t>
  </si>
  <si>
    <t>M&amp;A Investment</t>
  </si>
  <si>
    <t>Revenue growth through M&amp;A (%)</t>
  </si>
  <si>
    <t>Impairment (% of revenue)</t>
  </si>
  <si>
    <t>CHF</t>
  </si>
  <si>
    <t>Low</t>
  </si>
  <si>
    <t>Mid</t>
  </si>
  <si>
    <t>High</t>
  </si>
  <si>
    <t>Comments</t>
  </si>
  <si>
    <t>Risk free rate</t>
  </si>
  <si>
    <t>10/30y gov bond of ch</t>
  </si>
  <si>
    <t>Equity market risk premium</t>
  </si>
  <si>
    <t>Damodaran adj for country exposure</t>
  </si>
  <si>
    <t>Asset Beta</t>
  </si>
  <si>
    <t>Avg and median beta of peer companies</t>
  </si>
  <si>
    <t>Gearing</t>
  </si>
  <si>
    <t>D/E ratio</t>
  </si>
  <si>
    <t>Re-levered beta</t>
  </si>
  <si>
    <t>TBD if Harris pringle or Hamada</t>
  </si>
  <si>
    <t>Cost of Equity</t>
  </si>
  <si>
    <t>Country risk premium</t>
  </si>
  <si>
    <t>Adjusted Cost of Equity</t>
  </si>
  <si>
    <t>Credit spread</t>
  </si>
  <si>
    <t>Credit spread for A- rated companies</t>
  </si>
  <si>
    <t>Pre-tax Cost of Debt</t>
  </si>
  <si>
    <t>Tax rate</t>
  </si>
  <si>
    <t>Historical data</t>
  </si>
  <si>
    <t>After-tax Cost of Debt</t>
  </si>
  <si>
    <t>Equity-to-capital ratio</t>
  </si>
  <si>
    <t>From peers</t>
  </si>
  <si>
    <t>Debt-to-capital ratio</t>
  </si>
  <si>
    <t>Region</t>
  </si>
  <si>
    <t>Average Real GDP Growth</t>
  </si>
  <si>
    <t>2034E Weight</t>
  </si>
  <si>
    <t>APAC</t>
  </si>
  <si>
    <t>Weighted Average Real GDP Growth</t>
  </si>
  <si>
    <t>LT inflation</t>
  </si>
  <si>
    <t>Inflation pass through</t>
  </si>
  <si>
    <t>Long Term Growth Rate</t>
  </si>
  <si>
    <t>Source: OECD</t>
  </si>
  <si>
    <t>Acquisition cost</t>
  </si>
  <si>
    <t>Depreciation expense</t>
  </si>
  <si>
    <t>Accumulated depreciation</t>
  </si>
  <si>
    <t>Useful life</t>
  </si>
  <si>
    <t>Average life</t>
  </si>
  <si>
    <t>Amortization expense</t>
  </si>
  <si>
    <t>Accumulated amortization</t>
  </si>
  <si>
    <t>Ratio Forecast</t>
  </si>
  <si>
    <t>Profitability</t>
  </si>
  <si>
    <t>Gross Margin</t>
  </si>
  <si>
    <t>EBITDA Margin</t>
  </si>
  <si>
    <t>EBIT Margin</t>
  </si>
  <si>
    <t>EBT Margin</t>
  </si>
  <si>
    <t>Net Margin</t>
  </si>
  <si>
    <t>ROE</t>
  </si>
  <si>
    <t>ROA</t>
  </si>
  <si>
    <t>ROEC</t>
  </si>
  <si>
    <r>
      <t xml:space="preserve">EPS </t>
    </r>
    <r>
      <rPr>
        <i/>
        <sz val="11"/>
        <color theme="1"/>
        <rFont val="Aptos Narrow"/>
        <family val="2"/>
        <scheme val="minor"/>
      </rPr>
      <t>(in CHF)</t>
    </r>
  </si>
  <si>
    <t>Liquidity</t>
  </si>
  <si>
    <t>Current Ratio</t>
  </si>
  <si>
    <t>Quick Ratio</t>
  </si>
  <si>
    <t>Working Capital</t>
  </si>
  <si>
    <t>DSO</t>
  </si>
  <si>
    <t>DIO</t>
  </si>
  <si>
    <t>DPO</t>
  </si>
  <si>
    <t>Cash Conversion Cycle</t>
  </si>
  <si>
    <t>Asset Turnover</t>
  </si>
  <si>
    <t>Inventory Turnover</t>
  </si>
  <si>
    <t>Fixed Asset Turnover</t>
  </si>
  <si>
    <t>Receivables Turnover</t>
  </si>
  <si>
    <t>Solvency</t>
  </si>
  <si>
    <t>Debt/Equity</t>
  </si>
  <si>
    <t>Debt/Assets</t>
  </si>
  <si>
    <t>Net Debt/EBITDA</t>
  </si>
  <si>
    <t>Interest Coverage Ratio</t>
  </si>
  <si>
    <t>D/(D+E)</t>
  </si>
  <si>
    <t>Dupont Analysis</t>
  </si>
  <si>
    <t>Efficiency</t>
  </si>
  <si>
    <t>Leverage</t>
  </si>
  <si>
    <t>Projected Income Statement</t>
  </si>
  <si>
    <t>(CHF mm)</t>
  </si>
  <si>
    <t>Opex</t>
  </si>
  <si>
    <t>Net Finance Expense</t>
  </si>
  <si>
    <t>Income Tax</t>
  </si>
  <si>
    <t>Projected Balance Sheet</t>
  </si>
  <si>
    <t>Accounts receivables</t>
  </si>
  <si>
    <t>Total current assets</t>
  </si>
  <si>
    <t>Total non-current assets</t>
  </si>
  <si>
    <t>Total assets</t>
  </si>
  <si>
    <t>Other current liabilites</t>
  </si>
  <si>
    <t>Liabilites classified as held for sale</t>
  </si>
  <si>
    <t>Total current liabilities</t>
  </si>
  <si>
    <t>Total non-current liabilities</t>
  </si>
  <si>
    <t>Total equity</t>
  </si>
  <si>
    <t>Total liabilities and equity</t>
  </si>
  <si>
    <t>Projected Cash Flow Statement</t>
  </si>
  <si>
    <t>Cash flow from operations</t>
  </si>
  <si>
    <t>Capex property, plant and equipment</t>
  </si>
  <si>
    <t>Cash from investing activities</t>
  </si>
  <si>
    <t>Cash from financing activities</t>
  </si>
  <si>
    <t>Net change in cash</t>
  </si>
  <si>
    <t>Own PP&amp;E opening</t>
  </si>
  <si>
    <t xml:space="preserve">Own PP&amp;E closing </t>
  </si>
  <si>
    <t>Capital expenditure</t>
  </si>
  <si>
    <t>D&amp;A on new</t>
  </si>
  <si>
    <t>D&amp;A on new -2025</t>
  </si>
  <si>
    <t>D&amp;A on new -2026</t>
  </si>
  <si>
    <t>D&amp;A on new -2027</t>
  </si>
  <si>
    <t>D&amp;A on new -2028</t>
  </si>
  <si>
    <t>D&amp;A on new -2029</t>
  </si>
  <si>
    <t>D&amp;A on new -2030</t>
  </si>
  <si>
    <t>D&amp;A on new -2031</t>
  </si>
  <si>
    <t>D&amp;A on new -2032</t>
  </si>
  <si>
    <t>D&amp;A on new -2033</t>
  </si>
  <si>
    <t>D&amp;A on new -2034</t>
  </si>
  <si>
    <t>Total D&amp;A on new</t>
  </si>
  <si>
    <t>Valuation Assumptions</t>
  </si>
  <si>
    <t>Revenue growth EMEA</t>
  </si>
  <si>
    <t>%</t>
  </si>
  <si>
    <t>Revenue growth Americas</t>
  </si>
  <si>
    <t>Revenue growth APAC</t>
  </si>
  <si>
    <t>Personnel expenses</t>
  </si>
  <si>
    <t>Production and operations</t>
  </si>
  <si>
    <t>Logistics and distribution</t>
  </si>
  <si>
    <t>Sales, marketing and travel costs</t>
  </si>
  <si>
    <t xml:space="preserve">Administration Costs </t>
  </si>
  <si>
    <t>Interest rate on cash balance</t>
  </si>
  <si>
    <t>Capex PP&amp;E</t>
  </si>
  <si>
    <t>Capex ROU Assets</t>
  </si>
  <si>
    <t>Investments Intangibles</t>
  </si>
  <si>
    <t>Revenue growth trough M&amp;A</t>
  </si>
  <si>
    <t>EV/Revenue</t>
  </si>
  <si>
    <t>(+/-) Provisions</t>
  </si>
  <si>
    <t>(+/-) Change in NWC</t>
  </si>
  <si>
    <t>Investments in intangibles</t>
  </si>
  <si>
    <t>Investments in M&amp;A</t>
  </si>
  <si>
    <t>Enterprise Value to Equity Value Bridge</t>
  </si>
  <si>
    <t>Basic shares outstanding</t>
  </si>
  <si>
    <t>Diluted shares outstanding</t>
  </si>
  <si>
    <t>Net sales</t>
  </si>
  <si>
    <t>% growth in LC</t>
  </si>
  <si>
    <t>Gross result</t>
  </si>
  <si>
    <t>Gross margin (%)</t>
  </si>
  <si>
    <t>EBITDA margin (%)</t>
  </si>
  <si>
    <t>EBIT margin (%)</t>
  </si>
  <si>
    <t>CapEx as % of sales</t>
  </si>
  <si>
    <t>R&amp;D</t>
  </si>
  <si>
    <t>R&amp;D as % of sales</t>
  </si>
  <si>
    <t>New patents</t>
  </si>
  <si>
    <t>R&amp;D employees</t>
  </si>
  <si>
    <t>CCC</t>
  </si>
  <si>
    <t>Bolt-on M&amp;A</t>
  </si>
  <si>
    <t>FCFF ex M&amp;A</t>
  </si>
  <si>
    <t>FCFF Margin</t>
  </si>
  <si>
    <t>FCFF Conversion</t>
  </si>
  <si>
    <t>Cash &amp; cash equivalents</t>
  </si>
  <si>
    <t>Financial liabilities current</t>
  </si>
  <si>
    <t>Financial liabilities non-current</t>
  </si>
  <si>
    <t>Employee benefits obligations</t>
  </si>
  <si>
    <t>Net Debt</t>
  </si>
  <si>
    <t>Capex</t>
  </si>
  <si>
    <t>Normalized EBITDA</t>
  </si>
  <si>
    <t>Capex/EBITDA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</si>
</sst>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 ;_ * \-#,##0.00_ ;_ * &quot;-&quot;??_ ;_ @_ "/>
    <numFmt numFmtId="165" formatCode="0&quot;A&quot;"/>
    <numFmt numFmtId="166" formatCode="0&quot;F&quot;"/>
    <numFmt numFmtId="167" formatCode="0.0%"/>
    <numFmt numFmtId="168" formatCode="#,##0.0"/>
    <numFmt numFmtId="169" formatCode="0.0&quot;x&quot;"/>
    <numFmt numFmtId="170" formatCode="&quot;Year&quot;\ 0"/>
    <numFmt numFmtId="171" formatCode="0.00000%"/>
    <numFmt numFmtId="172" formatCode="&quot;Share price&quot;"/>
    <numFmt numFmtId="173" formatCode="0.000%"/>
    <numFmt numFmtId="174" formatCode="0.0"/>
    <numFmt numFmtId="175" formatCode="####&quot;A&quot;"/>
    <numFmt numFmtId="176" formatCode="####&quot;E&quot;"/>
    <numFmt numFmtId="177" formatCode="_ * #,##0_ ;_ * \-#,##0_ ;_ * &quot;-&quot;??_ ;_ @_ "/>
    <numFmt numFmtId="178" formatCode="&quot;--&quot;"/>
  </numFmts>
  <fonts count="1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7"/>
      <name val="Aptos Narrow"/>
      <family val="2"/>
      <scheme val="minor"/>
    </font>
    <font>
      <i/>
      <sz val="11"/>
      <color theme="7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6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510"/>
        <bgColor indexed="64"/>
      </patternFill>
    </fill>
    <fill>
      <patternFill patternType="solid">
        <fgColor rgb="FFFFF7D1"/>
        <bgColor indexed="64"/>
      </patternFill>
    </fill>
    <fill>
      <patternFill patternType="solid">
        <fgColor rgb="FFFFE46A"/>
        <bgColor indexed="64"/>
      </patternFill>
    </fill>
    <fill>
      <patternFill patternType="solid">
        <fgColor rgb="FFE51D25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3" fontId="0" fillId="0" borderId="0" xfId="0" applyNumberFormat="1" applyAlignment="1">
      <alignment horizontal="right"/>
    </xf>
    <xf numFmtId="0" fontId="3" fillId="0" borderId="0" xfId="0" applyFont="1"/>
    <xf numFmtId="167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3" fontId="2" fillId="2" borderId="2" xfId="0" applyNumberFormat="1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0" fontId="3" fillId="2" borderId="4" xfId="0" applyFont="1" applyFill="1" applyBorder="1"/>
    <xf numFmtId="167" fontId="3" fillId="2" borderId="5" xfId="0" applyNumberFormat="1" applyFont="1" applyFill="1" applyBorder="1" applyAlignment="1">
      <alignment horizontal="right"/>
    </xf>
    <xf numFmtId="167" fontId="3" fillId="2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5" xfId="0" applyFont="1" applyFill="1" applyBorder="1" applyAlignment="1">
      <alignment horizontal="right"/>
    </xf>
    <xf numFmtId="3" fontId="4" fillId="0" borderId="0" xfId="0" applyNumberFormat="1" applyFont="1" applyAlignment="1">
      <alignment horizontal="right"/>
    </xf>
    <xf numFmtId="167" fontId="0" fillId="0" borderId="0" xfId="0" applyNumberFormat="1"/>
    <xf numFmtId="167" fontId="3" fillId="0" borderId="0" xfId="0" applyNumberFormat="1" applyFont="1"/>
    <xf numFmtId="0" fontId="2" fillId="3" borderId="1" xfId="0" applyFont="1" applyFill="1" applyBorder="1"/>
    <xf numFmtId="3" fontId="2" fillId="3" borderId="2" xfId="0" applyNumberFormat="1" applyFont="1" applyFill="1" applyBorder="1"/>
    <xf numFmtId="3" fontId="2" fillId="3" borderId="3" xfId="0" applyNumberFormat="1" applyFont="1" applyFill="1" applyBorder="1"/>
    <xf numFmtId="167" fontId="3" fillId="3" borderId="5" xfId="0" applyNumberFormat="1" applyFont="1" applyFill="1" applyBorder="1"/>
    <xf numFmtId="167" fontId="3" fillId="3" borderId="6" xfId="0" applyNumberFormat="1" applyFont="1" applyFill="1" applyBorder="1"/>
    <xf numFmtId="0" fontId="3" fillId="3" borderId="4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3" fontId="2" fillId="2" borderId="2" xfId="0" applyNumberFormat="1" applyFont="1" applyFill="1" applyBorder="1"/>
    <xf numFmtId="3" fontId="2" fillId="2" borderId="3" xfId="0" applyNumberFormat="1" applyFont="1" applyFill="1" applyBorder="1"/>
    <xf numFmtId="167" fontId="3" fillId="2" borderId="5" xfId="0" applyNumberFormat="1" applyFont="1" applyFill="1" applyBorder="1"/>
    <xf numFmtId="167" fontId="3" fillId="2" borderId="6" xfId="0" applyNumberFormat="1" applyFont="1" applyFill="1" applyBorder="1"/>
    <xf numFmtId="0" fontId="5" fillId="3" borderId="1" xfId="0" applyFont="1" applyFill="1" applyBorder="1"/>
    <xf numFmtId="0" fontId="1" fillId="3" borderId="0" xfId="0" applyFont="1" applyFill="1"/>
    <xf numFmtId="165" fontId="1" fillId="3" borderId="0" xfId="0" applyNumberFormat="1" applyFont="1" applyFill="1"/>
    <xf numFmtId="166" fontId="1" fillId="3" borderId="0" xfId="0" applyNumberFormat="1" applyFont="1" applyFill="1"/>
    <xf numFmtId="0" fontId="2" fillId="0" borderId="5" xfId="0" applyFont="1" applyBorder="1"/>
    <xf numFmtId="167" fontId="0" fillId="4" borderId="0" xfId="0" applyNumberFormat="1" applyFill="1"/>
    <xf numFmtId="167" fontId="0" fillId="3" borderId="0" xfId="0" quotePrefix="1" applyNumberFormat="1" applyFill="1"/>
    <xf numFmtId="0" fontId="2" fillId="0" borderId="5" xfId="0" applyFont="1" applyBorder="1" applyAlignment="1">
      <alignment horizontal="left"/>
    </xf>
    <xf numFmtId="167" fontId="2" fillId="0" borderId="5" xfId="0" applyNumberFormat="1" applyFont="1" applyBorder="1"/>
    <xf numFmtId="167" fontId="2" fillId="3" borderId="5" xfId="0" quotePrefix="1" applyNumberFormat="1" applyFont="1" applyFill="1" applyBorder="1"/>
    <xf numFmtId="167" fontId="2" fillId="3" borderId="5" xfId="0" applyNumberFormat="1" applyFont="1" applyFill="1" applyBorder="1"/>
    <xf numFmtId="167" fontId="0" fillId="3" borderId="0" xfId="0" applyNumberFormat="1" applyFill="1"/>
    <xf numFmtId="3" fontId="0" fillId="4" borderId="0" xfId="0" applyNumberFormat="1" applyFill="1"/>
    <xf numFmtId="3" fontId="2" fillId="0" borderId="0" xfId="0" applyNumberFormat="1" applyFont="1"/>
    <xf numFmtId="0" fontId="2" fillId="0" borderId="2" xfId="0" applyFont="1" applyBorder="1"/>
    <xf numFmtId="0" fontId="2" fillId="0" borderId="7" xfId="0" applyFont="1" applyBorder="1"/>
    <xf numFmtId="0" fontId="0" fillId="0" borderId="2" xfId="0" applyBorder="1"/>
    <xf numFmtId="3" fontId="2" fillId="0" borderId="2" xfId="0" applyNumberFormat="1" applyFont="1" applyBorder="1"/>
    <xf numFmtId="3" fontId="8" fillId="0" borderId="0" xfId="0" applyNumberFormat="1" applyFont="1"/>
    <xf numFmtId="0" fontId="0" fillId="0" borderId="5" xfId="0" applyBorder="1"/>
    <xf numFmtId="3" fontId="2" fillId="0" borderId="7" xfId="0" applyNumberFormat="1" applyFont="1" applyBorder="1"/>
    <xf numFmtId="0" fontId="3" fillId="3" borderId="0" xfId="0" applyFont="1" applyFill="1"/>
    <xf numFmtId="167" fontId="3" fillId="3" borderId="0" xfId="0" applyNumberFormat="1" applyFont="1" applyFill="1"/>
    <xf numFmtId="0" fontId="0" fillId="3" borderId="0" xfId="0" applyFill="1"/>
    <xf numFmtId="3" fontId="3" fillId="3" borderId="0" xfId="0" applyNumberFormat="1" applyFont="1" applyFill="1"/>
    <xf numFmtId="3" fontId="8" fillId="3" borderId="0" xfId="0" applyNumberFormat="1" applyFont="1" applyFill="1"/>
    <xf numFmtId="167" fontId="0" fillId="0" borderId="0" xfId="0" applyNumberFormat="1" applyAlignment="1">
      <alignment horizontal="right"/>
    </xf>
    <xf numFmtId="3" fontId="9" fillId="3" borderId="0" xfId="0" applyNumberFormat="1" applyFont="1" applyFill="1"/>
    <xf numFmtId="0" fontId="0" fillId="0" borderId="5" xfId="0" applyBorder="1" applyAlignment="1">
      <alignment horizontal="left"/>
    </xf>
    <xf numFmtId="167" fontId="0" fillId="0" borderId="5" xfId="0" applyNumberFormat="1" applyBorder="1"/>
    <xf numFmtId="3" fontId="2" fillId="0" borderId="0" xfId="0" applyNumberFormat="1" applyFont="1" applyAlignment="1">
      <alignment horizontal="right"/>
    </xf>
    <xf numFmtId="0" fontId="3" fillId="2" borderId="5" xfId="0" applyFont="1" applyFill="1" applyBorder="1"/>
    <xf numFmtId="0" fontId="2" fillId="3" borderId="2" xfId="0" applyFont="1" applyFill="1" applyBorder="1"/>
    <xf numFmtId="0" fontId="3" fillId="3" borderId="5" xfId="0" applyFont="1" applyFill="1" applyBorder="1"/>
    <xf numFmtId="0" fontId="5" fillId="3" borderId="2" xfId="0" applyFont="1" applyFill="1" applyBorder="1"/>
    <xf numFmtId="168" fontId="0" fillId="0" borderId="0" xfId="0" applyNumberFormat="1"/>
    <xf numFmtId="168" fontId="4" fillId="0" borderId="0" xfId="0" applyNumberFormat="1" applyFont="1"/>
    <xf numFmtId="167" fontId="4" fillId="0" borderId="0" xfId="0" applyNumberFormat="1" applyFont="1"/>
    <xf numFmtId="167" fontId="4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8" fontId="10" fillId="0" borderId="0" xfId="0" applyNumberFormat="1" applyFont="1"/>
    <xf numFmtId="169" fontId="0" fillId="0" borderId="0" xfId="0" applyNumberFormat="1"/>
    <xf numFmtId="167" fontId="4" fillId="0" borderId="5" xfId="0" applyNumberFormat="1" applyFont="1" applyBorder="1"/>
    <xf numFmtId="168" fontId="4" fillId="3" borderId="0" xfId="0" applyNumberFormat="1" applyFont="1" applyFill="1"/>
    <xf numFmtId="0" fontId="2" fillId="0" borderId="1" xfId="0" applyFont="1" applyBorder="1"/>
    <xf numFmtId="168" fontId="2" fillId="0" borderId="2" xfId="0" applyNumberFormat="1" applyFont="1" applyBorder="1"/>
    <xf numFmtId="14" fontId="0" fillId="0" borderId="0" xfId="0" applyNumberFormat="1"/>
    <xf numFmtId="17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applyNumberFormat="1"/>
    <xf numFmtId="4" fontId="2" fillId="0" borderId="0" xfId="0" applyNumberFormat="1" applyFont="1"/>
    <xf numFmtId="10" fontId="0" fillId="4" borderId="0" xfId="0" applyNumberFormat="1" applyFill="1"/>
    <xf numFmtId="169" fontId="3" fillId="0" borderId="0" xfId="0" applyNumberFormat="1" applyFont="1"/>
    <xf numFmtId="169" fontId="3" fillId="4" borderId="0" xfId="0" applyNumberFormat="1" applyFont="1" applyFill="1"/>
    <xf numFmtId="10" fontId="0" fillId="0" borderId="0" xfId="0" applyNumberFormat="1"/>
    <xf numFmtId="171" fontId="3" fillId="0" borderId="0" xfId="0" applyNumberFormat="1" applyFont="1"/>
    <xf numFmtId="0" fontId="13" fillId="0" borderId="0" xfId="2"/>
    <xf numFmtId="0" fontId="14" fillId="3" borderId="0" xfId="2" applyFont="1" applyFill="1"/>
    <xf numFmtId="167" fontId="0" fillId="0" borderId="0" xfId="1" applyNumberFormat="1" applyFont="1"/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2" fontId="12" fillId="3" borderId="0" xfId="0" applyNumberFormat="1" applyFont="1" applyFill="1"/>
    <xf numFmtId="173" fontId="0" fillId="4" borderId="0" xfId="0" applyNumberFormat="1" applyFill="1"/>
    <xf numFmtId="10" fontId="4" fillId="0" borderId="0" xfId="0" applyNumberFormat="1" applyFont="1" applyAlignment="1">
      <alignment horizontal="right"/>
    </xf>
    <xf numFmtId="174" fontId="0" fillId="0" borderId="0" xfId="0" applyNumberFormat="1"/>
    <xf numFmtId="0" fontId="2" fillId="0" borderId="7" xfId="0" applyFont="1" applyBorder="1" applyAlignment="1">
      <alignment horizontal="right"/>
    </xf>
    <xf numFmtId="174" fontId="0" fillId="0" borderId="5" xfId="0" applyNumberFormat="1" applyBorder="1"/>
    <xf numFmtId="0" fontId="2" fillId="0" borderId="0" xfId="0" applyFont="1" applyAlignment="1">
      <alignment horizontal="left" indent="1"/>
    </xf>
    <xf numFmtId="169" fontId="3" fillId="0" borderId="0" xfId="0" applyNumberFormat="1" applyFont="1" applyAlignment="1">
      <alignment horizontal="center" vertical="center"/>
    </xf>
    <xf numFmtId="175" fontId="0" fillId="0" borderId="0" xfId="0" applyNumberFormat="1"/>
    <xf numFmtId="176" fontId="0" fillId="0" borderId="0" xfId="0" applyNumberFormat="1"/>
    <xf numFmtId="167" fontId="3" fillId="0" borderId="0" xfId="1" applyNumberFormat="1" applyFont="1"/>
    <xf numFmtId="167" fontId="3" fillId="0" borderId="0" xfId="1" applyNumberFormat="1" applyFont="1" applyFill="1"/>
    <xf numFmtId="10" fontId="0" fillId="0" borderId="0" xfId="0" applyNumberFormat="1" applyAlignment="1">
      <alignment horizontal="centerContinuous"/>
    </xf>
    <xf numFmtId="177" fontId="0" fillId="0" borderId="0" xfId="3" applyNumberFormat="1" applyFont="1"/>
    <xf numFmtId="1" fontId="0" fillId="0" borderId="0" xfId="0" applyNumberFormat="1"/>
    <xf numFmtId="3" fontId="4" fillId="0" borderId="0" xfId="0" applyNumberFormat="1" applyFont="1"/>
    <xf numFmtId="0" fontId="0" fillId="0" borderId="1" xfId="0" applyBorder="1"/>
    <xf numFmtId="1" fontId="0" fillId="0" borderId="3" xfId="0" applyNumberFormat="1" applyBorder="1"/>
    <xf numFmtId="0" fontId="0" fillId="0" borderId="4" xfId="0" applyBorder="1"/>
    <xf numFmtId="1" fontId="0" fillId="0" borderId="6" xfId="0" applyNumberFormat="1" applyBorder="1"/>
    <xf numFmtId="0" fontId="0" fillId="0" borderId="3" xfId="0" applyBorder="1"/>
    <xf numFmtId="0" fontId="0" fillId="0" borderId="9" xfId="0" applyBorder="1"/>
    <xf numFmtId="0" fontId="0" fillId="0" borderId="8" xfId="0" applyBorder="1" applyAlignment="1">
      <alignment horizontal="left" indent="1"/>
    </xf>
    <xf numFmtId="1" fontId="0" fillId="0" borderId="9" xfId="0" applyNumberFormat="1" applyBorder="1"/>
    <xf numFmtId="0" fontId="0" fillId="0" borderId="4" xfId="0" applyBorder="1" applyAlignment="1">
      <alignment horizontal="left" indent="1"/>
    </xf>
    <xf numFmtId="0" fontId="2" fillId="0" borderId="8" xfId="0" applyFont="1" applyBorder="1" applyAlignment="1">
      <alignment horizontal="left"/>
    </xf>
    <xf numFmtId="0" fontId="2" fillId="0" borderId="8" xfId="0" applyFont="1" applyBorder="1"/>
    <xf numFmtId="3" fontId="0" fillId="0" borderId="9" xfId="0" applyNumberFormat="1" applyBorder="1"/>
    <xf numFmtId="3" fontId="0" fillId="0" borderId="6" xfId="0" applyNumberForma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3" xfId="0" applyNumberFormat="1" applyFont="1" applyBorder="1"/>
    <xf numFmtId="9" fontId="0" fillId="0" borderId="0" xfId="0" applyNumberFormat="1"/>
    <xf numFmtId="9" fontId="0" fillId="4" borderId="0" xfId="0" applyNumberFormat="1" applyFill="1"/>
    <xf numFmtId="0" fontId="2" fillId="0" borderId="2" xfId="0" applyFont="1" applyBorder="1" applyAlignment="1">
      <alignment horizontal="left"/>
    </xf>
    <xf numFmtId="168" fontId="4" fillId="0" borderId="2" xfId="0" applyNumberFormat="1" applyFont="1" applyBorder="1"/>
    <xf numFmtId="0" fontId="2" fillId="0" borderId="2" xfId="0" applyFont="1" applyBorder="1" applyAlignment="1">
      <alignment horizontal="left" indent="1"/>
    </xf>
    <xf numFmtId="168" fontId="16" fillId="0" borderId="0" xfId="0" applyNumberFormat="1" applyFont="1"/>
    <xf numFmtId="168" fontId="15" fillId="0" borderId="2" xfId="0" applyNumberFormat="1" applyFont="1" applyBorder="1"/>
    <xf numFmtId="177" fontId="2" fillId="0" borderId="0" xfId="3" applyNumberFormat="1" applyFont="1"/>
    <xf numFmtId="167" fontId="0" fillId="0" borderId="0" xfId="1" applyNumberFormat="1" applyFont="1" applyAlignment="1">
      <alignment horizontal="right"/>
    </xf>
    <xf numFmtId="0" fontId="0" fillId="0" borderId="7" xfId="0" applyBorder="1"/>
    <xf numFmtId="178" fontId="3" fillId="0" borderId="0" xfId="0" applyNumberFormat="1" applyFont="1" applyAlignment="1">
      <alignment horizontal="right"/>
    </xf>
    <xf numFmtId="3" fontId="4" fillId="3" borderId="0" xfId="0" applyNumberFormat="1" applyFont="1" applyFill="1"/>
    <xf numFmtId="177" fontId="4" fillId="0" borderId="0" xfId="3" applyNumberFormat="1" applyFont="1"/>
    <xf numFmtId="167" fontId="3" fillId="4" borderId="0" xfId="0" applyNumberFormat="1" applyFont="1" applyFill="1"/>
    <xf numFmtId="167" fontId="0" fillId="4" borderId="0" xfId="1" applyNumberFormat="1" applyFont="1" applyFill="1"/>
    <xf numFmtId="167" fontId="0" fillId="0" borderId="0" xfId="1" applyNumberFormat="1" applyFont="1" applyFill="1"/>
    <xf numFmtId="177" fontId="11" fillId="0" borderId="0" xfId="3" applyNumberFormat="1" applyFont="1" applyFill="1"/>
    <xf numFmtId="167" fontId="11" fillId="0" borderId="0" xfId="0" applyNumberFormat="1" applyFont="1"/>
    <xf numFmtId="3" fontId="3" fillId="0" borderId="0" xfId="0" applyNumberFormat="1" applyFont="1"/>
    <xf numFmtId="4" fontId="0" fillId="0" borderId="0" xfId="0" applyNumberFormat="1"/>
    <xf numFmtId="167" fontId="16" fillId="0" borderId="0" xfId="0" applyNumberFormat="1" applyFont="1"/>
    <xf numFmtId="167" fontId="3" fillId="4" borderId="2" xfId="0" applyNumberFormat="1" applyFont="1" applyFill="1" applyBorder="1"/>
    <xf numFmtId="167" fontId="3" fillId="4" borderId="0" xfId="0" quotePrefix="1" applyNumberFormat="1" applyFont="1" applyFill="1"/>
    <xf numFmtId="167" fontId="16" fillId="0" borderId="0" xfId="0" applyNumberFormat="1" applyFont="1" applyAlignment="1">
      <alignment horizontal="right"/>
    </xf>
    <xf numFmtId="177" fontId="3" fillId="0" borderId="0" xfId="3" applyNumberFormat="1" applyFont="1"/>
    <xf numFmtId="177" fontId="3" fillId="4" borderId="0" xfId="3" applyNumberFormat="1" applyFont="1" applyFill="1"/>
    <xf numFmtId="167" fontId="0" fillId="0" borderId="0" xfId="1" applyNumberFormat="1" applyFont="1" applyAlignment="1">
      <alignment horizontal="left"/>
    </xf>
    <xf numFmtId="0" fontId="0" fillId="2" borderId="0" xfId="0" applyFill="1"/>
    <xf numFmtId="167" fontId="0" fillId="2" borderId="0" xfId="1" applyNumberFormat="1" applyFont="1" applyFill="1"/>
    <xf numFmtId="2" fontId="0" fillId="2" borderId="0" xfId="0" applyNumberFormat="1" applyFill="1"/>
    <xf numFmtId="174" fontId="0" fillId="2" borderId="0" xfId="1" applyNumberFormat="1" applyFont="1" applyFill="1"/>
    <xf numFmtId="174" fontId="0" fillId="0" borderId="0" xfId="1" applyNumberFormat="1" applyFont="1"/>
    <xf numFmtId="174" fontId="0" fillId="2" borderId="0" xfId="0" applyNumberFormat="1" applyFill="1"/>
    <xf numFmtId="0" fontId="2" fillId="2" borderId="0" xfId="0" applyFont="1" applyFill="1"/>
    <xf numFmtId="3" fontId="2" fillId="2" borderId="0" xfId="0" applyNumberFormat="1" applyFont="1" applyFill="1"/>
    <xf numFmtId="3" fontId="0" fillId="2" borderId="0" xfId="0" applyNumberForma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/>
    <xf numFmtId="167" fontId="11" fillId="0" borderId="0" xfId="1" applyNumberFormat="1" applyFont="1"/>
    <xf numFmtId="0" fontId="0" fillId="2" borderId="0" xfId="0" applyFill="1" applyAlignment="1">
      <alignment horizontal="left"/>
    </xf>
    <xf numFmtId="1" fontId="0" fillId="2" borderId="0" xfId="0" applyNumberFormat="1" applyFill="1"/>
    <xf numFmtId="2" fontId="0" fillId="0" borderId="0" xfId="0" applyNumberFormat="1" applyAlignment="1">
      <alignment horizontal="left" indent="1"/>
    </xf>
    <xf numFmtId="177" fontId="3" fillId="0" borderId="0" xfId="3" applyNumberFormat="1" applyFont="1" applyFill="1"/>
    <xf numFmtId="3" fontId="0" fillId="0" borderId="5" xfId="0" applyNumberFormat="1" applyBorder="1"/>
    <xf numFmtId="3" fontId="17" fillId="0" borderId="5" xfId="0" applyNumberFormat="1" applyFont="1" applyBorder="1"/>
    <xf numFmtId="3" fontId="2" fillId="0" borderId="5" xfId="0" applyNumberFormat="1" applyFont="1" applyBorder="1"/>
    <xf numFmtId="0" fontId="1" fillId="6" borderId="0" xfId="0" applyFont="1" applyFill="1"/>
    <xf numFmtId="175" fontId="1" fillId="6" borderId="0" xfId="0" applyNumberFormat="1" applyFont="1" applyFill="1"/>
    <xf numFmtId="176" fontId="1" fillId="6" borderId="0" xfId="0" applyNumberFormat="1" applyFont="1" applyFill="1"/>
    <xf numFmtId="14" fontId="1" fillId="6" borderId="0" xfId="0" applyNumberFormat="1" applyFont="1" applyFill="1"/>
    <xf numFmtId="165" fontId="1" fillId="6" borderId="0" xfId="0" applyNumberFormat="1" applyFont="1" applyFill="1"/>
    <xf numFmtId="167" fontId="1" fillId="6" borderId="0" xfId="0" applyNumberFormat="1" applyFont="1" applyFill="1"/>
    <xf numFmtId="2" fontId="0" fillId="3" borderId="0" xfId="0" applyNumberFormat="1" applyFill="1"/>
    <xf numFmtId="167" fontId="0" fillId="3" borderId="0" xfId="1" applyNumberFormat="1" applyFont="1" applyFill="1"/>
    <xf numFmtId="167" fontId="2" fillId="3" borderId="7" xfId="1" applyNumberFormat="1" applyFont="1" applyFill="1" applyBorder="1"/>
    <xf numFmtId="167" fontId="2" fillId="3" borderId="7" xfId="0" applyNumberFormat="1" applyFont="1" applyFill="1" applyBorder="1"/>
    <xf numFmtId="10" fontId="0" fillId="3" borderId="0" xfId="0" applyNumberFormat="1" applyFill="1"/>
    <xf numFmtId="2" fontId="2" fillId="6" borderId="0" xfId="0" applyNumberFormat="1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167" fontId="2" fillId="7" borderId="0" xfId="0" applyNumberFormat="1" applyFont="1" applyFill="1" applyAlignment="1">
      <alignment horizontal="center" vertical="center"/>
    </xf>
    <xf numFmtId="2" fontId="0" fillId="7" borderId="8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167" fontId="2" fillId="7" borderId="0" xfId="0" applyNumberFormat="1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169" fontId="5" fillId="7" borderId="0" xfId="0" applyNumberFormat="1" applyFont="1" applyFill="1" applyAlignment="1">
      <alignment horizontal="center" vertical="center"/>
    </xf>
    <xf numFmtId="173" fontId="3" fillId="0" borderId="0" xfId="0" applyNumberFormat="1" applyFont="1"/>
    <xf numFmtId="0" fontId="1" fillId="5" borderId="0" xfId="0" applyFont="1" applyFill="1"/>
    <xf numFmtId="165" fontId="1" fillId="5" borderId="0" xfId="0" applyNumberFormat="1" applyFont="1" applyFill="1"/>
    <xf numFmtId="166" fontId="1" fillId="5" borderId="0" xfId="0" applyNumberFormat="1" applyFont="1" applyFill="1"/>
    <xf numFmtId="0" fontId="1" fillId="9" borderId="0" xfId="0" applyFont="1" applyFill="1"/>
    <xf numFmtId="165" fontId="1" fillId="9" borderId="0" xfId="0" applyNumberFormat="1" applyFont="1" applyFill="1"/>
    <xf numFmtId="166" fontId="1" fillId="9" borderId="0" xfId="0" applyNumberFormat="1" applyFont="1" applyFill="1"/>
    <xf numFmtId="0" fontId="1" fillId="5" borderId="0" xfId="0" applyFont="1" applyFill="1" applyAlignment="1">
      <alignment horizontal="right"/>
    </xf>
    <xf numFmtId="0" fontId="1" fillId="5" borderId="0" xfId="0" applyFont="1" applyFill="1" applyAlignment="1">
      <alignment horizontal="left"/>
    </xf>
    <xf numFmtId="0" fontId="12" fillId="5" borderId="0" xfId="0" applyFont="1" applyFill="1"/>
    <xf numFmtId="0" fontId="18" fillId="10" borderId="0" xfId="0" applyFont="1" applyFill="1" applyAlignment="1">
      <alignment horizontal="right" wrapText="1" readingOrder="1"/>
    </xf>
  </cellXfs>
  <cellStyles count="4">
    <cellStyle name="Hyperlink" xfId="2" builtinId="8"/>
    <cellStyle name="Komma" xfId="3" builtinId="3"/>
    <cellStyle name="Procent" xfId="1" builtinId="5"/>
    <cellStyle name="Standaard" xfId="0" builtinId="0"/>
  </cellStyles>
  <dxfs count="0"/>
  <tableStyles count="0" defaultTableStyle="TableStyleMedium2" defaultPivotStyle="PivotStyleLight16"/>
  <colors>
    <mruColors>
      <color rgb="FFE51D25"/>
      <color rgb="FFFFF7D1"/>
      <color rgb="FFFFE46A"/>
      <color rgb="FFFFDD52"/>
      <color rgb="FFFFD131"/>
      <color rgb="FFFFEFAD"/>
      <color rgb="FFFFC51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252C-A97F-4E3D-AAF2-DDFA17B9197B}">
  <dimension ref="A2:V341"/>
  <sheetViews>
    <sheetView showGridLines="0" topLeftCell="A337" zoomScale="64" zoomScaleNormal="85" workbookViewId="0">
      <selection activeCell="X19" sqref="X19"/>
    </sheetView>
  </sheetViews>
  <sheetFormatPr defaultRowHeight="14.45" outlineLevelRow="2"/>
  <cols>
    <col min="3" max="3" width="44.140625" bestFit="1" customWidth="1"/>
    <col min="4" max="5" width="8.85546875" customWidth="1"/>
    <col min="8" max="8" width="8.85546875" customWidth="1"/>
    <col min="10" max="10" width="8.85546875" customWidth="1"/>
    <col min="14" max="14" width="8.85546875" customWidth="1"/>
  </cols>
  <sheetData>
    <row r="2" spans="1:19">
      <c r="C2" s="90"/>
      <c r="E2" s="2"/>
      <c r="F2" s="160"/>
      <c r="G2" s="1"/>
      <c r="H2" s="1"/>
      <c r="I2" s="114"/>
      <c r="J2" s="160"/>
      <c r="K2" s="2"/>
      <c r="L2" s="2"/>
      <c r="M2" s="2"/>
      <c r="N2" s="2"/>
    </row>
    <row r="3" spans="1:19">
      <c r="E3" s="4"/>
      <c r="F3" s="4"/>
      <c r="G3" s="4"/>
      <c r="H3" s="4"/>
      <c r="I3" s="4"/>
      <c r="J3" s="5"/>
      <c r="K3" s="5"/>
      <c r="L3" s="5"/>
      <c r="M3" s="5"/>
      <c r="N3" s="5"/>
    </row>
    <row r="4" spans="1:19">
      <c r="A4" t="s">
        <v>0</v>
      </c>
      <c r="C4" s="203" t="s">
        <v>1</v>
      </c>
      <c r="D4" s="203"/>
      <c r="E4" s="204">
        <v>2020</v>
      </c>
      <c r="F4" s="204">
        <f>E4+1</f>
        <v>2021</v>
      </c>
      <c r="G4" s="204">
        <f t="shared" ref="G4" si="0">F4+1</f>
        <v>2022</v>
      </c>
      <c r="H4" s="204">
        <f t="shared" ref="H4" si="1">G4+1</f>
        <v>2023</v>
      </c>
      <c r="I4" s="204">
        <f t="shared" ref="I4" si="2">H4+1</f>
        <v>2024</v>
      </c>
      <c r="J4" s="205">
        <f t="shared" ref="J4" si="3">I4+1</f>
        <v>2025</v>
      </c>
      <c r="K4" s="205">
        <f t="shared" ref="K4" si="4">J4+1</f>
        <v>2026</v>
      </c>
      <c r="L4" s="205">
        <f t="shared" ref="L4" si="5">K4+1</f>
        <v>2027</v>
      </c>
      <c r="M4" s="205">
        <f t="shared" ref="M4" si="6">L4+1</f>
        <v>2028</v>
      </c>
      <c r="N4" s="205">
        <f t="shared" ref="N4" si="7">M4+1</f>
        <v>2029</v>
      </c>
      <c r="O4" s="205">
        <f t="shared" ref="O4" si="8">N4+1</f>
        <v>2030</v>
      </c>
      <c r="P4" s="205">
        <f t="shared" ref="P4" si="9">O4+1</f>
        <v>2031</v>
      </c>
      <c r="Q4" s="205">
        <f t="shared" ref="Q4" si="10">P4+1</f>
        <v>2032</v>
      </c>
      <c r="R4" s="205">
        <f t="shared" ref="R4" si="11">Q4+1</f>
        <v>2033</v>
      </c>
      <c r="S4" s="205">
        <f t="shared" ref="S4" si="12">R4+1</f>
        <v>2034</v>
      </c>
    </row>
    <row r="5" spans="1:19" ht="14.1" customHeight="1" outlineLevel="1"/>
    <row r="6" spans="1:19" outlineLevel="2">
      <c r="B6" t="s">
        <v>0</v>
      </c>
      <c r="C6" s="200" t="s">
        <v>2</v>
      </c>
      <c r="D6" s="200"/>
      <c r="E6" s="201">
        <v>2020</v>
      </c>
      <c r="F6" s="201">
        <f>E6+1</f>
        <v>2021</v>
      </c>
      <c r="G6" s="201">
        <f t="shared" ref="G6:N6" si="13">F6+1</f>
        <v>2022</v>
      </c>
      <c r="H6" s="201">
        <f t="shared" si="13"/>
        <v>2023</v>
      </c>
      <c r="I6" s="201">
        <f t="shared" si="13"/>
        <v>2024</v>
      </c>
      <c r="J6" s="202">
        <f t="shared" si="13"/>
        <v>2025</v>
      </c>
      <c r="K6" s="202">
        <f t="shared" si="13"/>
        <v>2026</v>
      </c>
      <c r="L6" s="202">
        <f t="shared" si="13"/>
        <v>2027</v>
      </c>
      <c r="M6" s="202">
        <f t="shared" si="13"/>
        <v>2028</v>
      </c>
      <c r="N6" s="202">
        <f t="shared" si="13"/>
        <v>2029</v>
      </c>
      <c r="O6" s="202">
        <f t="shared" ref="O6" si="14">N6+1</f>
        <v>2030</v>
      </c>
      <c r="P6" s="202">
        <f t="shared" ref="P6" si="15">O6+1</f>
        <v>2031</v>
      </c>
      <c r="Q6" s="202">
        <f t="shared" ref="Q6" si="16">P6+1</f>
        <v>2032</v>
      </c>
      <c r="R6" s="202">
        <f t="shared" ref="R6" si="17">Q6+1</f>
        <v>2033</v>
      </c>
      <c r="S6" s="202">
        <f t="shared" ref="S6" si="18">R6+1</f>
        <v>2034</v>
      </c>
    </row>
    <row r="7" spans="1:19" outlineLevel="2"/>
    <row r="8" spans="1:19" outlineLevel="2">
      <c r="C8" t="s">
        <v>3</v>
      </c>
      <c r="E8" s="19">
        <v>3495.4</v>
      </c>
      <c r="F8" s="19">
        <v>4071.4</v>
      </c>
      <c r="G8" s="19">
        <v>4143.5</v>
      </c>
      <c r="H8" s="19">
        <v>4879.7</v>
      </c>
      <c r="I8" s="19">
        <v>5095.2</v>
      </c>
      <c r="J8" s="6">
        <f>I8*(1+J9)</f>
        <v>5033.8156271814669</v>
      </c>
      <c r="K8" s="6">
        <f t="shared" ref="K8:N8" si="19">J8*(1+K9)</f>
        <v>5298.022923072991</v>
      </c>
      <c r="L8" s="6">
        <f t="shared" si="19"/>
        <v>5596.430484469859</v>
      </c>
      <c r="M8" s="6">
        <f t="shared" si="19"/>
        <v>5899.5452598989832</v>
      </c>
      <c r="N8" s="6">
        <f t="shared" si="19"/>
        <v>6215.1595422200662</v>
      </c>
      <c r="O8" s="6">
        <f t="shared" ref="O8" si="20">N8*(1+O9)</f>
        <v>6515.9636653615216</v>
      </c>
      <c r="P8" s="6">
        <f t="shared" ref="P8" si="21">O8*(1+P9)</f>
        <v>6798.0973446234148</v>
      </c>
      <c r="Q8" s="6">
        <f t="shared" ref="Q8" si="22">P8*(1+Q9)</f>
        <v>7057.7794136920102</v>
      </c>
      <c r="R8" s="6">
        <f t="shared" ref="R8" si="23">Q8*(1+R9)</f>
        <v>7291.3891872738586</v>
      </c>
      <c r="S8" s="6">
        <f t="shared" ref="S8" si="24">R8*(1+S9)</f>
        <v>7495.5480845175271</v>
      </c>
    </row>
    <row r="9" spans="1:19" outlineLevel="2">
      <c r="C9" s="7" t="s">
        <v>4</v>
      </c>
      <c r="D9" s="7"/>
      <c r="E9" s="17" t="str">
        <f>IF(ISNUMBER(B8),(E8-B8)/B8, "--")</f>
        <v>--</v>
      </c>
      <c r="F9" s="8">
        <f t="shared" ref="F9:I9" si="25">IF(ISNUMBER(E8),(F8-E8)/E8, "--")</f>
        <v>0.16478800709503919</v>
      </c>
      <c r="G9" s="8">
        <f t="shared" si="25"/>
        <v>1.7708896202780346E-2</v>
      </c>
      <c r="H9" s="8">
        <f t="shared" si="25"/>
        <v>0.17767587788101841</v>
      </c>
      <c r="I9" s="8">
        <f t="shared" si="25"/>
        <v>4.4162550976494457E-2</v>
      </c>
      <c r="J9" s="8">
        <f>Assumptions!J10</f>
        <v>-1.204749034749035E-2</v>
      </c>
      <c r="K9" s="8">
        <f>Assumptions!K10</f>
        <v>5.2486486486486489E-2</v>
      </c>
      <c r="L9" s="8">
        <f>Assumptions!L10</f>
        <v>5.6324324324324326E-2</v>
      </c>
      <c r="M9" s="8">
        <f>Assumptions!M10</f>
        <v>5.4162162162162165E-2</v>
      </c>
      <c r="N9" s="8">
        <f>Assumptions!N10</f>
        <v>5.3498069498069505E-2</v>
      </c>
      <c r="O9" s="8">
        <f>Assumptions!O10</f>
        <v>4.8398455598455604E-2</v>
      </c>
      <c r="P9" s="8">
        <f>Assumptions!P10</f>
        <v>4.3298841698841704E-2</v>
      </c>
      <c r="Q9" s="8">
        <f>Assumptions!Q10</f>
        <v>3.8199227799227804E-2</v>
      </c>
      <c r="R9" s="8">
        <f>Assumptions!R10</f>
        <v>3.3099613899613904E-2</v>
      </c>
      <c r="S9" s="8">
        <f>Assumptions!S10</f>
        <v>2.8000000000000001E-2</v>
      </c>
    </row>
    <row r="10" spans="1:19" outlineLevel="2">
      <c r="C10" s="7" t="s">
        <v>5</v>
      </c>
      <c r="D10" s="7"/>
      <c r="E10" s="8">
        <f>E8/E24</f>
        <v>0.44371382146846755</v>
      </c>
      <c r="F10" s="8">
        <f t="shared" ref="F10:N10" si="26">F8/F24</f>
        <v>0.44004193551873583</v>
      </c>
      <c r="G10" s="8">
        <f t="shared" si="26"/>
        <v>0.39492746716483346</v>
      </c>
      <c r="H10" s="8">
        <f t="shared" si="26"/>
        <v>0.4341910914170804</v>
      </c>
      <c r="I10" s="8">
        <f t="shared" si="26"/>
        <v>0.43315112512858012</v>
      </c>
      <c r="J10" s="8">
        <f>J8/J24</f>
        <v>0.44487169379040226</v>
      </c>
      <c r="K10" s="8">
        <f t="shared" si="26"/>
        <v>0.44478294682565467</v>
      </c>
      <c r="L10" s="8">
        <f t="shared" si="26"/>
        <v>0.44044314335669893</v>
      </c>
      <c r="M10" s="8">
        <f t="shared" si="26"/>
        <v>0.43761092531908469</v>
      </c>
      <c r="N10" s="8">
        <f t="shared" si="26"/>
        <v>0.43693667708558004</v>
      </c>
      <c r="O10" s="8">
        <f t="shared" ref="O10:S10" si="27">O8/O24</f>
        <v>0.43638770188249976</v>
      </c>
      <c r="P10" s="8">
        <f t="shared" si="27"/>
        <v>0.43596623618040359</v>
      </c>
      <c r="Q10" s="8">
        <f t="shared" si="27"/>
        <v>0.43567439674831804</v>
      </c>
      <c r="R10" s="8">
        <f t="shared" si="27"/>
        <v>0.43551417859633307</v>
      </c>
      <c r="S10" s="8">
        <f t="shared" si="27"/>
        <v>0.43548745221613233</v>
      </c>
    </row>
    <row r="11" spans="1:19" outlineLevel="2"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outlineLevel="2">
      <c r="C12" t="s">
        <v>6</v>
      </c>
      <c r="E12" s="19">
        <v>2012.2</v>
      </c>
      <c r="F12" s="19">
        <v>2427.4</v>
      </c>
      <c r="G12" s="19">
        <v>3193.5</v>
      </c>
      <c r="H12" s="19">
        <v>3735.9</v>
      </c>
      <c r="I12" s="19">
        <v>4096.8999999999996</v>
      </c>
      <c r="J12" s="6">
        <f>I12*(1+J13)</f>
        <v>3928.9270999999994</v>
      </c>
      <c r="K12" s="6">
        <f t="shared" ref="K12:N12" si="28">J12*(1+K13)</f>
        <v>4105.7288194999992</v>
      </c>
      <c r="L12" s="6">
        <f t="shared" si="28"/>
        <v>4434.1871250599997</v>
      </c>
      <c r="M12" s="6">
        <f t="shared" si="28"/>
        <v>4753.4485980643203</v>
      </c>
      <c r="N12" s="6">
        <f t="shared" si="28"/>
        <v>5033.9020653501148</v>
      </c>
      <c r="O12" s="6">
        <f t="shared" ref="O12" si="29">N12*(1+O13)</f>
        <v>5300.3968406897502</v>
      </c>
      <c r="P12" s="6">
        <f t="shared" ref="P12" si="30">O12*(1+P13)</f>
        <v>5548.8794445812855</v>
      </c>
      <c r="Q12" s="6">
        <f t="shared" ref="Q12" si="31">P12*(1+Q13)</f>
        <v>5775.3847035090939</v>
      </c>
      <c r="R12" s="6">
        <f t="shared" ref="R12" si="32">Q12*(1+R13)</f>
        <v>5976.1370758030698</v>
      </c>
      <c r="S12" s="6">
        <f t="shared" ref="S12" si="33">R12*(1+S13)</f>
        <v>6147.6522098786172</v>
      </c>
    </row>
    <row r="13" spans="1:19" outlineLevel="2">
      <c r="C13" s="7" t="s">
        <v>4</v>
      </c>
      <c r="D13" s="7"/>
      <c r="E13" s="17" t="str">
        <f>IF(ISNUMBER(B12),(E12-B12)/B12, "--")</f>
        <v>--</v>
      </c>
      <c r="F13" s="8">
        <f t="shared" ref="F13:I13" si="34">IF(ISNUMBER(E12),(F12-E12)/E12, "--")</f>
        <v>0.20634131796044133</v>
      </c>
      <c r="G13" s="8">
        <f t="shared" si="34"/>
        <v>0.31560517426052559</v>
      </c>
      <c r="H13" s="8">
        <f t="shared" si="34"/>
        <v>0.16984499765147959</v>
      </c>
      <c r="I13" s="8">
        <f t="shared" si="34"/>
        <v>9.6629995449556874E-2</v>
      </c>
      <c r="J13" s="8">
        <f>Assumptions!J11</f>
        <v>-4.1000000000000009E-2</v>
      </c>
      <c r="K13" s="8">
        <f>Assumptions!K11</f>
        <v>4.4999999999999998E-2</v>
      </c>
      <c r="L13" s="8">
        <f>Assumptions!L11</f>
        <v>0.08</v>
      </c>
      <c r="M13" s="8">
        <f>Assumptions!M11</f>
        <v>7.1999999999999995E-2</v>
      </c>
      <c r="N13" s="8">
        <f>Assumptions!N11</f>
        <v>5.8999999999999997E-2</v>
      </c>
      <c r="O13" s="8">
        <f>Assumptions!O11</f>
        <v>5.2940000000000001E-2</v>
      </c>
      <c r="P13" s="8">
        <f>Assumptions!P11</f>
        <v>4.6880000000000005E-2</v>
      </c>
      <c r="Q13" s="8">
        <f>Assumptions!Q11</f>
        <v>4.0820000000000009E-2</v>
      </c>
      <c r="R13" s="8">
        <f>Assumptions!R11</f>
        <v>3.4760000000000013E-2</v>
      </c>
      <c r="S13" s="8">
        <f>Assumptions!S11</f>
        <v>2.87E-2</v>
      </c>
    </row>
    <row r="14" spans="1:19" outlineLevel="2">
      <c r="C14" s="7" t="s">
        <v>5</v>
      </c>
      <c r="D14" s="7"/>
      <c r="E14" s="8">
        <f>E12/E24</f>
        <v>0.25543312684066211</v>
      </c>
      <c r="F14" s="8">
        <f t="shared" ref="F14:N14" si="35">F12/F24</f>
        <v>0.26235638706051467</v>
      </c>
      <c r="G14" s="8">
        <f t="shared" si="35"/>
        <v>0.3043805638689262</v>
      </c>
      <c r="H14" s="8">
        <f t="shared" si="35"/>
        <v>0.33241684907372804</v>
      </c>
      <c r="I14" s="8">
        <f t="shared" si="35"/>
        <v>0.34828404077156533</v>
      </c>
      <c r="J14" s="8">
        <f t="shared" si="35"/>
        <v>0.34722536207284155</v>
      </c>
      <c r="K14" s="8">
        <f t="shared" si="35"/>
        <v>0.34468672365520964</v>
      </c>
      <c r="L14" s="8">
        <f t="shared" si="35"/>
        <v>0.34897374692901867</v>
      </c>
      <c r="M14" s="8">
        <f t="shared" si="35"/>
        <v>0.35259684396272456</v>
      </c>
      <c r="N14" s="8">
        <f t="shared" si="35"/>
        <v>0.35389219315561665</v>
      </c>
      <c r="O14" s="8">
        <f t="shared" ref="O14:S14" si="36">O12/O24</f>
        <v>0.35497865168736015</v>
      </c>
      <c r="P14" s="8">
        <f t="shared" si="36"/>
        <v>0.35585311063340186</v>
      </c>
      <c r="Q14" s="8">
        <f t="shared" si="36"/>
        <v>0.3565125940050512</v>
      </c>
      <c r="R14" s="8">
        <f t="shared" si="36"/>
        <v>0.35695425973010964</v>
      </c>
      <c r="S14" s="8">
        <f t="shared" si="36"/>
        <v>0.35717540169222223</v>
      </c>
    </row>
    <row r="15" spans="1:19" outlineLevel="2"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outlineLevel="2">
      <c r="C16" t="s">
        <v>7</v>
      </c>
      <c r="E16" s="19">
        <v>1723.3</v>
      </c>
      <c r="F16" s="19">
        <v>2080.9</v>
      </c>
      <c r="G16" s="19">
        <v>2350.6</v>
      </c>
      <c r="H16" s="19">
        <v>2623</v>
      </c>
      <c r="I16" s="19">
        <v>2571</v>
      </c>
      <c r="J16" s="6">
        <f>I16*(1+J17)</f>
        <v>2352.4650000000001</v>
      </c>
      <c r="K16" s="6">
        <f t="shared" ref="K16:N16" si="37">J16*(1+K17)</f>
        <v>2507.7276900000002</v>
      </c>
      <c r="L16" s="6">
        <f t="shared" si="37"/>
        <v>2675.7454452299999</v>
      </c>
      <c r="M16" s="6">
        <f t="shared" si="37"/>
        <v>2828.2629356081097</v>
      </c>
      <c r="N16" s="6">
        <f t="shared" si="37"/>
        <v>2975.3326082597314</v>
      </c>
      <c r="O16" s="6">
        <f t="shared" ref="O16" si="38">N16*(1+O17)</f>
        <v>3115.2327475001043</v>
      </c>
      <c r="P16" s="6">
        <f t="shared" ref="P16" si="39">O16*(1+P17)</f>
        <v>3246.197132205009</v>
      </c>
      <c r="Q16" s="6">
        <f t="shared" ref="Q16" si="40">P16*(1+Q17)</f>
        <v>3366.5011979245269</v>
      </c>
      <c r="R16" s="6">
        <f t="shared" ref="R16" si="41">Q16*(1+R17)</f>
        <v>3474.4985563539462</v>
      </c>
      <c r="S16" s="6">
        <f t="shared" ref="S16" si="42">R16*(1+S17)</f>
        <v>3568.6574672311381</v>
      </c>
    </row>
    <row r="17" spans="2:19" outlineLevel="2">
      <c r="C17" s="7" t="s">
        <v>4</v>
      </c>
      <c r="D17" s="7"/>
      <c r="E17" s="17" t="str">
        <f>IF(ISNUMBER(B16),(E16-B16)/B16, "--")</f>
        <v>--</v>
      </c>
      <c r="F17" s="8">
        <f t="shared" ref="F17:I17" si="43">IF(ISNUMBER(E16),(F16-E16)/E16, "--")</f>
        <v>0.20750884930076025</v>
      </c>
      <c r="G17" s="8">
        <f t="shared" si="43"/>
        <v>0.12960738142150022</v>
      </c>
      <c r="H17" s="8">
        <f t="shared" si="43"/>
        <v>0.11588530587934999</v>
      </c>
      <c r="I17" s="8">
        <f t="shared" si="43"/>
        <v>-1.9824628288219594E-2</v>
      </c>
      <c r="J17" s="8">
        <f>Assumptions!J12</f>
        <v>-8.4999999999999992E-2</v>
      </c>
      <c r="K17" s="8">
        <f>Assumptions!K12</f>
        <v>6.6000000000000003E-2</v>
      </c>
      <c r="L17" s="8">
        <f>Assumptions!L12</f>
        <v>6.7000000000000004E-2</v>
      </c>
      <c r="M17" s="8">
        <f>Assumptions!M12</f>
        <v>5.7000000000000002E-2</v>
      </c>
      <c r="N17" s="8">
        <f>Assumptions!N12</f>
        <v>5.2000000000000005E-2</v>
      </c>
      <c r="O17" s="8">
        <f>Assumptions!O12</f>
        <v>4.7020000000000006E-2</v>
      </c>
      <c r="P17" s="8">
        <f>Assumptions!P12</f>
        <v>4.2040000000000008E-2</v>
      </c>
      <c r="Q17" s="8">
        <f>Assumptions!Q12</f>
        <v>3.706000000000001E-2</v>
      </c>
      <c r="R17" s="8">
        <f>Assumptions!R12</f>
        <v>3.2080000000000011E-2</v>
      </c>
      <c r="S17" s="8">
        <f>Assumptions!S12</f>
        <v>2.7099999999999999E-2</v>
      </c>
    </row>
    <row r="18" spans="2:19" outlineLevel="2">
      <c r="C18" s="7" t="s">
        <v>5</v>
      </c>
      <c r="D18" s="7"/>
      <c r="E18" s="8">
        <f>E16/E24</f>
        <v>0.21875952066619272</v>
      </c>
      <c r="F18" s="8">
        <f t="shared" ref="F18:N18" si="44">F16/F24</f>
        <v>0.22490623952963046</v>
      </c>
      <c r="G18" s="8">
        <f t="shared" si="44"/>
        <v>0.22404163251301012</v>
      </c>
      <c r="H18" s="8">
        <f t="shared" si="44"/>
        <v>0.23339205950919154</v>
      </c>
      <c r="I18" s="8">
        <f t="shared" si="44"/>
        <v>0.21856483409985467</v>
      </c>
      <c r="J18" s="8">
        <f t="shared" si="44"/>
        <v>0.20790294413675617</v>
      </c>
      <c r="K18" s="8">
        <f t="shared" si="44"/>
        <v>0.21053032951913581</v>
      </c>
      <c r="L18" s="8">
        <f t="shared" si="44"/>
        <v>0.2105831097142824</v>
      </c>
      <c r="M18" s="8">
        <f t="shared" si="44"/>
        <v>0.2097922307181907</v>
      </c>
      <c r="N18" s="8">
        <f t="shared" si="44"/>
        <v>0.20917112975880345</v>
      </c>
      <c r="O18" s="8">
        <f t="shared" ref="O18:S18" si="45">O16/O24</f>
        <v>0.20863364643014021</v>
      </c>
      <c r="P18" s="8">
        <f t="shared" si="45"/>
        <v>0.20818065318619461</v>
      </c>
      <c r="Q18" s="8">
        <f t="shared" si="45"/>
        <v>0.20781300924663079</v>
      </c>
      <c r="R18" s="8">
        <f t="shared" si="45"/>
        <v>0.20753156167355735</v>
      </c>
      <c r="S18" s="8">
        <f t="shared" si="45"/>
        <v>0.2073371460916455</v>
      </c>
    </row>
    <row r="19" spans="2:19" outlineLevel="2"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2:19" outlineLevel="2">
      <c r="C20" t="s">
        <v>8</v>
      </c>
      <c r="E20" s="19">
        <v>646.70000000000005</v>
      </c>
      <c r="F20" s="19">
        <v>672.6</v>
      </c>
      <c r="G20" s="19">
        <v>804.2</v>
      </c>
      <c r="H20" s="19">
        <v>0</v>
      </c>
      <c r="I20" s="19">
        <v>0</v>
      </c>
      <c r="J20" s="6">
        <f>I20*(1+J21)</f>
        <v>0</v>
      </c>
      <c r="K20" s="6">
        <f t="shared" ref="K20:N20" si="46">J20*(1+K21)</f>
        <v>0</v>
      </c>
      <c r="L20" s="6">
        <f t="shared" si="46"/>
        <v>0</v>
      </c>
      <c r="M20" s="6">
        <f t="shared" si="46"/>
        <v>0</v>
      </c>
      <c r="N20" s="6">
        <f t="shared" si="46"/>
        <v>0</v>
      </c>
      <c r="O20" s="6">
        <f t="shared" ref="O20" si="47">N20*(1+O21)</f>
        <v>0</v>
      </c>
      <c r="P20" s="6">
        <f t="shared" ref="P20" si="48">O20*(1+P21)</f>
        <v>0</v>
      </c>
      <c r="Q20" s="6">
        <f t="shared" ref="Q20" si="49">P20*(1+Q21)</f>
        <v>0</v>
      </c>
      <c r="R20" s="6">
        <f t="shared" ref="R20" si="50">Q20*(1+R21)</f>
        <v>0</v>
      </c>
      <c r="S20" s="6">
        <f t="shared" ref="S20" si="51">R20*(1+S21)</f>
        <v>0</v>
      </c>
    </row>
    <row r="21" spans="2:19" outlineLevel="2">
      <c r="C21" s="7" t="s">
        <v>9</v>
      </c>
      <c r="D21" s="7"/>
      <c r="E21" s="17" t="str">
        <f>IF(ISNUMBER(B20),(E20-B20)/B20, "--")</f>
        <v>--</v>
      </c>
      <c r="F21" s="8">
        <f t="shared" ref="F21:H21" si="52">IF(ISNUMBER(E20),(F20-E20)/E20, "--")</f>
        <v>4.0049481985464631E-2</v>
      </c>
      <c r="G21" s="8">
        <f t="shared" si="52"/>
        <v>0.19565863812072556</v>
      </c>
      <c r="H21" s="8">
        <f t="shared" si="52"/>
        <v>-1</v>
      </c>
      <c r="I21" s="144" t="str">
        <f>IF(ISNUMBER(H20), IF(H20=0, "--", (I20-H20)/H20), "--")</f>
        <v>--</v>
      </c>
      <c r="J21" s="8">
        <f>Assumptions!J13</f>
        <v>0</v>
      </c>
      <c r="K21" s="8">
        <f>Assumptions!K13</f>
        <v>0</v>
      </c>
      <c r="L21" s="8">
        <f>Assumptions!L13</f>
        <v>0</v>
      </c>
      <c r="M21" s="8">
        <f>Assumptions!M13</f>
        <v>0</v>
      </c>
      <c r="N21" s="8">
        <f>Assumptions!N13</f>
        <v>0</v>
      </c>
      <c r="O21" s="8">
        <f>Assumptions!O13</f>
        <v>0</v>
      </c>
      <c r="P21" s="8">
        <f>Assumptions!P13</f>
        <v>0</v>
      </c>
      <c r="Q21" s="8">
        <f>Assumptions!Q13</f>
        <v>0</v>
      </c>
      <c r="R21" s="8">
        <f>Assumptions!R13</f>
        <v>0</v>
      </c>
      <c r="S21" s="8">
        <f>Assumptions!S13</f>
        <v>0</v>
      </c>
    </row>
    <row r="22" spans="2:19" outlineLevel="2">
      <c r="C22" s="7" t="s">
        <v>5</v>
      </c>
      <c r="D22" s="7"/>
      <c r="E22" s="8">
        <f>E20/E24</f>
        <v>8.2093531024677563E-2</v>
      </c>
      <c r="F22" s="8">
        <f t="shared" ref="F22:N22" si="53">F20/F24</f>
        <v>7.2695437891118958E-2</v>
      </c>
      <c r="G22" s="8">
        <f t="shared" si="53"/>
        <v>7.6650336453230133E-2</v>
      </c>
      <c r="H22" s="8">
        <f t="shared" si="53"/>
        <v>0</v>
      </c>
      <c r="I22" s="8">
        <f t="shared" si="53"/>
        <v>0</v>
      </c>
      <c r="J22" s="8">
        <f t="shared" si="53"/>
        <v>0</v>
      </c>
      <c r="K22" s="8">
        <f t="shared" si="53"/>
        <v>0</v>
      </c>
      <c r="L22" s="8">
        <f t="shared" si="53"/>
        <v>0</v>
      </c>
      <c r="M22" s="8">
        <f t="shared" si="53"/>
        <v>0</v>
      </c>
      <c r="N22" s="8">
        <f t="shared" si="53"/>
        <v>0</v>
      </c>
      <c r="O22" s="8">
        <f t="shared" ref="O22:S22" si="54">O20/O24</f>
        <v>0</v>
      </c>
      <c r="P22" s="8">
        <f t="shared" si="54"/>
        <v>0</v>
      </c>
      <c r="Q22" s="8">
        <f t="shared" si="54"/>
        <v>0</v>
      </c>
      <c r="R22" s="8">
        <f t="shared" si="54"/>
        <v>0</v>
      </c>
      <c r="S22" s="8">
        <f t="shared" si="54"/>
        <v>0</v>
      </c>
    </row>
    <row r="23" spans="2:19" outlineLevel="2">
      <c r="F23" s="9"/>
      <c r="G23" s="9"/>
      <c r="H23" s="9"/>
      <c r="I23" s="9"/>
      <c r="J23" s="9"/>
      <c r="K23" s="9"/>
      <c r="L23" s="9"/>
      <c r="M23" s="9"/>
      <c r="N23" s="9"/>
    </row>
    <row r="24" spans="2:19" outlineLevel="2">
      <c r="C24" s="10" t="s">
        <v>2</v>
      </c>
      <c r="D24" s="11"/>
      <c r="E24" s="31">
        <f t="shared" ref="E24:H24" si="55">E8+E12+E16+E20</f>
        <v>7877.6</v>
      </c>
      <c r="F24" s="12">
        <f t="shared" si="55"/>
        <v>9252.3000000000011</v>
      </c>
      <c r="G24" s="12">
        <f t="shared" si="55"/>
        <v>10491.800000000001</v>
      </c>
      <c r="H24" s="12">
        <f t="shared" si="55"/>
        <v>11238.6</v>
      </c>
      <c r="I24" s="12">
        <f>I8+I12+I16+I20</f>
        <v>11763.099999999999</v>
      </c>
      <c r="J24" s="12">
        <f>J8+J12+J16+J20</f>
        <v>11315.207727181467</v>
      </c>
      <c r="K24" s="12">
        <f>K8+K12+K16+K20</f>
        <v>11911.479432572989</v>
      </c>
      <c r="L24" s="12">
        <f>L8+L12+L16+L20</f>
        <v>12706.363054759859</v>
      </c>
      <c r="M24" s="12">
        <f t="shared" ref="M24" si="56">M8+M12+M16+M20</f>
        <v>13481.256793571414</v>
      </c>
      <c r="N24" s="12">
        <f t="shared" ref="N24:S24" si="57">N8+N12+N16+N20</f>
        <v>14224.394215829911</v>
      </c>
      <c r="O24" s="12">
        <f t="shared" si="57"/>
        <v>14931.593253551375</v>
      </c>
      <c r="P24" s="12">
        <f t="shared" si="57"/>
        <v>15593.173921409709</v>
      </c>
      <c r="Q24" s="12">
        <f t="shared" si="57"/>
        <v>16199.665315125631</v>
      </c>
      <c r="R24" s="12">
        <f t="shared" si="57"/>
        <v>16742.024819430873</v>
      </c>
      <c r="S24" s="13">
        <f t="shared" si="57"/>
        <v>17211.857761627281</v>
      </c>
    </row>
    <row r="25" spans="2:19" outlineLevel="2">
      <c r="C25" s="14" t="s">
        <v>4</v>
      </c>
      <c r="D25" s="66"/>
      <c r="E25" s="18" t="str">
        <f>IF(ISNUMBER(B24),(E24-B24)/B24, "--")</f>
        <v>--</v>
      </c>
      <c r="F25" s="15">
        <f t="shared" ref="F25:I25" si="58">IF(ISNUMBER(E24),(F24-E24)/E24, "--")</f>
        <v>0.17450746420229521</v>
      </c>
      <c r="G25" s="15">
        <f t="shared" si="58"/>
        <v>0.13396668936372577</v>
      </c>
      <c r="H25" s="15">
        <f t="shared" si="58"/>
        <v>7.1179397243561565E-2</v>
      </c>
      <c r="I25" s="15">
        <f t="shared" si="58"/>
        <v>4.6669513996405086E-2</v>
      </c>
      <c r="J25" s="15">
        <f t="shared" ref="J25" si="59">IF(ISNUMBER(I24),(J24-I24)/I24, "--")</f>
        <v>-3.807604056911288E-2</v>
      </c>
      <c r="K25" s="15">
        <f t="shared" ref="K25" si="60">IF(ISNUMBER(J24),(K24-J24)/J24, "--")</f>
        <v>5.2696487750653866E-2</v>
      </c>
      <c r="L25" s="15">
        <f t="shared" ref="L25" si="61">IF(ISNUMBER(K24),(L24-K24)/K24, "--")</f>
        <v>6.6732568921135896E-2</v>
      </c>
      <c r="M25" s="15">
        <f t="shared" ref="M25" si="62">IF(ISNUMBER(L24),(M24-L24)/L24, "--")</f>
        <v>6.0984699986301509E-2</v>
      </c>
      <c r="N25" s="15">
        <f t="shared" ref="N25" si="63">IF(ISNUMBER(M24),(N24-M24)/M24, "--")</f>
        <v>5.5123749486981372E-2</v>
      </c>
      <c r="O25" s="15">
        <f t="shared" ref="O25" si="64">IF(ISNUMBER(N24),(O24-N24)/N24, "--")</f>
        <v>4.971733959218054E-2</v>
      </c>
      <c r="P25" s="15">
        <f t="shared" ref="P25" si="65">IF(ISNUMBER(O24),(P24-O24)/O24, "--")</f>
        <v>4.4307439710158304E-2</v>
      </c>
      <c r="Q25" s="15">
        <f t="shared" ref="Q25" si="66">IF(ISNUMBER(P24),(Q24-P24)/P24, "--")</f>
        <v>3.8894672551763057E-2</v>
      </c>
      <c r="R25" s="15">
        <f t="shared" ref="R25" si="67">IF(ISNUMBER(Q24),(R24-Q24)/Q24, "--")</f>
        <v>3.3479673422563964E-2</v>
      </c>
      <c r="S25" s="16">
        <f t="shared" ref="S25" si="68">IF(ISNUMBER(R24),(S24-R24)/R24, "--")</f>
        <v>2.8063089576304878E-2</v>
      </c>
    </row>
    <row r="26" spans="2:19" outlineLevel="2"/>
    <row r="27" spans="2:19" outlineLevel="2">
      <c r="B27" t="s">
        <v>0</v>
      </c>
      <c r="C27" s="200" t="s">
        <v>10</v>
      </c>
      <c r="D27" s="200"/>
      <c r="E27" s="201">
        <v>2020</v>
      </c>
      <c r="F27" s="201">
        <f>E27+1</f>
        <v>2021</v>
      </c>
      <c r="G27" s="201">
        <f t="shared" ref="G27:M27" si="69">F27+1</f>
        <v>2022</v>
      </c>
      <c r="H27" s="201">
        <f t="shared" si="69"/>
        <v>2023</v>
      </c>
      <c r="I27" s="201">
        <f t="shared" si="69"/>
        <v>2024</v>
      </c>
      <c r="J27" s="202">
        <f t="shared" si="69"/>
        <v>2025</v>
      </c>
      <c r="K27" s="202">
        <f t="shared" si="69"/>
        <v>2026</v>
      </c>
      <c r="L27" s="202">
        <f t="shared" si="69"/>
        <v>2027</v>
      </c>
      <c r="M27" s="202">
        <f t="shared" si="69"/>
        <v>2028</v>
      </c>
      <c r="N27" s="202">
        <f t="shared" ref="N27" si="70">M27+1</f>
        <v>2029</v>
      </c>
      <c r="O27" s="202">
        <f t="shared" ref="O27" si="71">N27+1</f>
        <v>2030</v>
      </c>
      <c r="P27" s="202">
        <f t="shared" ref="P27" si="72">O27+1</f>
        <v>2031</v>
      </c>
      <c r="Q27" s="202">
        <f t="shared" ref="Q27" si="73">P27+1</f>
        <v>2032</v>
      </c>
      <c r="R27" s="202">
        <f t="shared" ref="R27" si="74">Q27+1</f>
        <v>2033</v>
      </c>
      <c r="S27" s="202">
        <f t="shared" ref="S27" si="75">R27+1</f>
        <v>2034</v>
      </c>
    </row>
    <row r="28" spans="2:19" outlineLevel="2"/>
    <row r="29" spans="2:19" outlineLevel="2">
      <c r="C29" t="s">
        <v>11</v>
      </c>
      <c r="E29" s="19">
        <v>3562.7</v>
      </c>
      <c r="F29" s="19">
        <v>4461</v>
      </c>
      <c r="G29" s="19">
        <v>5312</v>
      </c>
      <c r="H29" s="19">
        <v>5213.8</v>
      </c>
      <c r="I29" s="19">
        <v>5347.1</v>
      </c>
      <c r="J29" s="6">
        <f>J30*J24</f>
        <v>5091.8434772316605</v>
      </c>
      <c r="K29" s="6">
        <f t="shared" ref="K29:M29" si="76">K30*K24</f>
        <v>5360.1657446578456</v>
      </c>
      <c r="L29" s="6">
        <f t="shared" si="76"/>
        <v>5717.8633746419364</v>
      </c>
      <c r="M29" s="6">
        <f t="shared" si="76"/>
        <v>6066.5655571071366</v>
      </c>
      <c r="N29" s="6">
        <f t="shared" ref="N29:S29" si="77">N30*N24</f>
        <v>6400.9773971234599</v>
      </c>
      <c r="O29" s="6">
        <f t="shared" si="77"/>
        <v>6719.2169640981192</v>
      </c>
      <c r="P29" s="6">
        <f t="shared" si="77"/>
        <v>7016.928264634369</v>
      </c>
      <c r="Q29" s="6">
        <f t="shared" si="77"/>
        <v>7289.8493918065342</v>
      </c>
      <c r="R29" s="6">
        <f t="shared" si="77"/>
        <v>7533.9111687438935</v>
      </c>
      <c r="S29" s="6">
        <f t="shared" si="77"/>
        <v>7745.3359927322772</v>
      </c>
    </row>
    <row r="30" spans="2:19" outlineLevel="2">
      <c r="C30" s="7" t="s">
        <v>5</v>
      </c>
      <c r="D30" s="7"/>
      <c r="E30" s="8">
        <f>E29/E24</f>
        <v>0.45225703259876099</v>
      </c>
      <c r="F30" s="8">
        <f t="shared" ref="F30:I30" si="78">F29/F24</f>
        <v>0.48215038422878631</v>
      </c>
      <c r="G30" s="8">
        <f t="shared" si="78"/>
        <v>0.50630015821879937</v>
      </c>
      <c r="H30" s="8">
        <f t="shared" si="78"/>
        <v>0.46391899346893739</v>
      </c>
      <c r="I30" s="8">
        <f t="shared" si="78"/>
        <v>0.45456554819732903</v>
      </c>
      <c r="J30" s="20">
        <f>Assumptions!J16</f>
        <v>0.45</v>
      </c>
      <c r="K30" s="20">
        <f>Assumptions!K16</f>
        <v>0.45</v>
      </c>
      <c r="L30" s="20">
        <f>Assumptions!L16</f>
        <v>0.45</v>
      </c>
      <c r="M30" s="20">
        <f>Assumptions!M16</f>
        <v>0.45</v>
      </c>
      <c r="N30" s="20">
        <f>Assumptions!N16</f>
        <v>0.45</v>
      </c>
      <c r="O30" s="20">
        <f>Assumptions!O16</f>
        <v>0.45</v>
      </c>
      <c r="P30" s="20">
        <f>Assumptions!P16</f>
        <v>0.45</v>
      </c>
      <c r="Q30" s="20">
        <f>Assumptions!Q16</f>
        <v>0.45</v>
      </c>
      <c r="R30" s="20">
        <f>Assumptions!R16</f>
        <v>0.45</v>
      </c>
      <c r="S30" s="20">
        <f>Assumptions!S16</f>
        <v>0.45</v>
      </c>
    </row>
    <row r="31" spans="2:19" outlineLevel="2"/>
    <row r="32" spans="2:19" outlineLevel="2">
      <c r="C32" s="22" t="s">
        <v>12</v>
      </c>
      <c r="D32" s="67"/>
      <c r="E32" s="23">
        <f>E24-E29</f>
        <v>4314.9000000000005</v>
      </c>
      <c r="F32" s="23">
        <f t="shared" ref="F32:I32" si="79">F24-F29</f>
        <v>4791.3000000000011</v>
      </c>
      <c r="G32" s="23">
        <f t="shared" si="79"/>
        <v>5179.8000000000011</v>
      </c>
      <c r="H32" s="23">
        <f t="shared" si="79"/>
        <v>6024.8</v>
      </c>
      <c r="I32" s="23">
        <f t="shared" si="79"/>
        <v>6415.9999999999982</v>
      </c>
      <c r="J32" s="23">
        <f>J24-J29</f>
        <v>6223.3642499498064</v>
      </c>
      <c r="K32" s="23">
        <f t="shared" ref="K32:M32" si="80">K24-K29</f>
        <v>6551.3136879151434</v>
      </c>
      <c r="L32" s="23">
        <f t="shared" si="80"/>
        <v>6988.4996801179223</v>
      </c>
      <c r="M32" s="23">
        <f t="shared" si="80"/>
        <v>7414.6912364642776</v>
      </c>
      <c r="N32" s="23">
        <f t="shared" ref="N32:S32" si="81">N24-N29</f>
        <v>7823.4168187064506</v>
      </c>
      <c r="O32" s="23">
        <f t="shared" si="81"/>
        <v>8212.3762894532556</v>
      </c>
      <c r="P32" s="23">
        <f t="shared" si="81"/>
        <v>8576.2456567753397</v>
      </c>
      <c r="Q32" s="23">
        <f t="shared" si="81"/>
        <v>8909.8159233190963</v>
      </c>
      <c r="R32" s="23">
        <f t="shared" si="81"/>
        <v>9208.1136506869807</v>
      </c>
      <c r="S32" s="24">
        <f t="shared" si="81"/>
        <v>9466.5217688950033</v>
      </c>
    </row>
    <row r="33" spans="2:19" outlineLevel="2">
      <c r="C33" s="27" t="s">
        <v>13</v>
      </c>
      <c r="D33" s="68"/>
      <c r="E33" s="25">
        <f>E32/E24</f>
        <v>0.54774296740123896</v>
      </c>
      <c r="F33" s="25">
        <f t="shared" ref="F33:M33" si="82">F32/F24</f>
        <v>0.51784961577121369</v>
      </c>
      <c r="G33" s="25">
        <f t="shared" si="82"/>
        <v>0.49369984178120063</v>
      </c>
      <c r="H33" s="25">
        <f t="shared" si="82"/>
        <v>0.53608100653106261</v>
      </c>
      <c r="I33" s="25">
        <f t="shared" si="82"/>
        <v>0.54543445180267103</v>
      </c>
      <c r="J33" s="25">
        <f t="shared" si="82"/>
        <v>0.54999999999999993</v>
      </c>
      <c r="K33" s="25">
        <f t="shared" si="82"/>
        <v>0.54999999999999993</v>
      </c>
      <c r="L33" s="25">
        <f t="shared" si="82"/>
        <v>0.55000000000000004</v>
      </c>
      <c r="M33" s="25">
        <f t="shared" si="82"/>
        <v>0.54999999999999993</v>
      </c>
      <c r="N33" s="25">
        <f t="shared" ref="N33:S33" si="83">N32/N24</f>
        <v>0.54999999999999993</v>
      </c>
      <c r="O33" s="25">
        <f t="shared" si="83"/>
        <v>0.54999999999999993</v>
      </c>
      <c r="P33" s="25">
        <f t="shared" si="83"/>
        <v>0.55000000000000004</v>
      </c>
      <c r="Q33" s="25">
        <f t="shared" si="83"/>
        <v>0.54999999999999993</v>
      </c>
      <c r="R33" s="25">
        <f t="shared" si="83"/>
        <v>0.55000000000000004</v>
      </c>
      <c r="S33" s="26">
        <f t="shared" si="83"/>
        <v>0.54999999999999993</v>
      </c>
    </row>
    <row r="34" spans="2:19" outlineLevel="2"/>
    <row r="35" spans="2:19" outlineLevel="2">
      <c r="B35" t="s">
        <v>0</v>
      </c>
      <c r="C35" s="200" t="s">
        <v>14</v>
      </c>
      <c r="D35" s="200"/>
      <c r="E35" s="201">
        <v>2020</v>
      </c>
      <c r="F35" s="201">
        <f>E35+1</f>
        <v>2021</v>
      </c>
      <c r="G35" s="201">
        <f t="shared" ref="G35:M35" si="84">F35+1</f>
        <v>2022</v>
      </c>
      <c r="H35" s="201">
        <f t="shared" si="84"/>
        <v>2023</v>
      </c>
      <c r="I35" s="201">
        <f t="shared" si="84"/>
        <v>2024</v>
      </c>
      <c r="J35" s="202">
        <f t="shared" si="84"/>
        <v>2025</v>
      </c>
      <c r="K35" s="202">
        <f t="shared" si="84"/>
        <v>2026</v>
      </c>
      <c r="L35" s="202">
        <f t="shared" si="84"/>
        <v>2027</v>
      </c>
      <c r="M35" s="202">
        <f t="shared" si="84"/>
        <v>2028</v>
      </c>
      <c r="N35" s="202">
        <f t="shared" ref="N35" si="85">M35+1</f>
        <v>2029</v>
      </c>
      <c r="O35" s="202">
        <f t="shared" ref="O35" si="86">N35+1</f>
        <v>2030</v>
      </c>
      <c r="P35" s="202">
        <f t="shared" ref="P35" si="87">O35+1</f>
        <v>2031</v>
      </c>
      <c r="Q35" s="202">
        <f t="shared" ref="Q35" si="88">P35+1</f>
        <v>2032</v>
      </c>
      <c r="R35" s="202">
        <f t="shared" ref="R35" si="89">Q35+1</f>
        <v>2033</v>
      </c>
      <c r="S35" s="202">
        <f t="shared" ref="S35" si="90">R35+1</f>
        <v>2034</v>
      </c>
    </row>
    <row r="36" spans="2:19" outlineLevel="2"/>
    <row r="37" spans="2:19" outlineLevel="2">
      <c r="C37" t="s">
        <v>15</v>
      </c>
      <c r="E37" s="19">
        <v>1525.9</v>
      </c>
      <c r="F37" s="19">
        <v>1635.3</v>
      </c>
      <c r="G37" s="19">
        <v>1710.5</v>
      </c>
      <c r="H37" s="19">
        <v>2006.8</v>
      </c>
      <c r="I37" s="19">
        <v>2143.6</v>
      </c>
      <c r="J37" s="30">
        <f>J38*J24</f>
        <v>2138.5742604372972</v>
      </c>
      <c r="K37" s="30">
        <f t="shared" ref="K37:S37" si="91">K38*K24</f>
        <v>2167.8892567282837</v>
      </c>
      <c r="L37" s="30">
        <f t="shared" si="91"/>
        <v>2249.0262606924948</v>
      </c>
      <c r="M37" s="30">
        <f t="shared" si="91"/>
        <v>2386.1824524621402</v>
      </c>
      <c r="N37" s="30">
        <f t="shared" si="91"/>
        <v>2517.7177762018941</v>
      </c>
      <c r="O37" s="30">
        <f t="shared" si="91"/>
        <v>2642.8920058785934</v>
      </c>
      <c r="P37" s="30">
        <f t="shared" si="91"/>
        <v>2759.9917840895182</v>
      </c>
      <c r="Q37" s="30">
        <f t="shared" si="91"/>
        <v>2867.3407607772365</v>
      </c>
      <c r="R37" s="30">
        <f t="shared" si="91"/>
        <v>2963.3383930392642</v>
      </c>
      <c r="S37" s="30">
        <f t="shared" si="91"/>
        <v>3046.4988238080286</v>
      </c>
    </row>
    <row r="38" spans="2:19" outlineLevel="2">
      <c r="C38" s="7" t="s">
        <v>5</v>
      </c>
      <c r="D38" s="7"/>
      <c r="E38" s="21">
        <f>E37/E24</f>
        <v>0.19370112724687721</v>
      </c>
      <c r="F38" s="21">
        <f t="shared" ref="F38:I38" si="92">F37/F24</f>
        <v>0.1767452417236795</v>
      </c>
      <c r="G38" s="21">
        <f t="shared" si="92"/>
        <v>0.16303208219752566</v>
      </c>
      <c r="H38" s="21">
        <f t="shared" si="92"/>
        <v>0.17856316623066928</v>
      </c>
      <c r="I38" s="21">
        <f t="shared" si="92"/>
        <v>0.18223087451437123</v>
      </c>
      <c r="J38" s="21">
        <f>Assumptions!J19</f>
        <v>0.189</v>
      </c>
      <c r="K38" s="21">
        <f>Assumptions!K19</f>
        <v>0.182</v>
      </c>
      <c r="L38" s="21">
        <f>Assumptions!L19</f>
        <v>0.17699999999999999</v>
      </c>
      <c r="M38" s="21">
        <f>Assumptions!M19</f>
        <v>0.17699999999999999</v>
      </c>
      <c r="N38" s="21">
        <f>Assumptions!N19</f>
        <v>0.17699999999999999</v>
      </c>
      <c r="O38" s="21">
        <f>Assumptions!O19</f>
        <v>0.17699999999999999</v>
      </c>
      <c r="P38" s="21">
        <f>Assumptions!P19</f>
        <v>0.17699999999999999</v>
      </c>
      <c r="Q38" s="21">
        <f>Assumptions!Q19</f>
        <v>0.17699999999999999</v>
      </c>
      <c r="R38" s="21">
        <f>Assumptions!R19</f>
        <v>0.17699999999999999</v>
      </c>
      <c r="S38" s="21">
        <f>Assumptions!S19</f>
        <v>0.17699999999999999</v>
      </c>
    </row>
    <row r="39" spans="2:19" outlineLevel="2"/>
    <row r="40" spans="2:19" outlineLevel="2">
      <c r="C40" s="28" t="s">
        <v>16</v>
      </c>
      <c r="D40" s="28"/>
      <c r="E40" s="19">
        <v>399.5</v>
      </c>
      <c r="F40" s="19">
        <v>466.5</v>
      </c>
      <c r="G40" s="19">
        <v>498.5</v>
      </c>
      <c r="H40" s="19">
        <v>573.5</v>
      </c>
      <c r="I40" s="19">
        <v>621.6</v>
      </c>
      <c r="J40" s="30">
        <f t="shared" ref="J40:S40" si="93">J41*J24</f>
        <v>588.39080181343627</v>
      </c>
      <c r="K40" s="30">
        <f t="shared" si="93"/>
        <v>607.48545106122242</v>
      </c>
      <c r="L40" s="30">
        <f t="shared" si="93"/>
        <v>635.31815273799293</v>
      </c>
      <c r="M40" s="30">
        <f t="shared" si="93"/>
        <v>660.58158288499931</v>
      </c>
      <c r="N40" s="30">
        <f t="shared" si="93"/>
        <v>696.9953165756657</v>
      </c>
      <c r="O40" s="30">
        <f t="shared" si="93"/>
        <v>731.64806942401742</v>
      </c>
      <c r="P40" s="30">
        <f t="shared" si="93"/>
        <v>764.06552214907572</v>
      </c>
      <c r="Q40" s="30">
        <f t="shared" si="93"/>
        <v>793.78360044115595</v>
      </c>
      <c r="R40" s="30">
        <f t="shared" si="93"/>
        <v>820.35921615211282</v>
      </c>
      <c r="S40" s="30">
        <f t="shared" si="93"/>
        <v>843.38103031973685</v>
      </c>
    </row>
    <row r="41" spans="2:19" outlineLevel="2">
      <c r="C41" s="7" t="s">
        <v>5</v>
      </c>
      <c r="D41" s="7"/>
      <c r="E41" s="21">
        <f>E40/E24</f>
        <v>5.0713415253376658E-2</v>
      </c>
      <c r="F41" s="21">
        <f>F40/F24</f>
        <v>5.0419895593528087E-2</v>
      </c>
      <c r="G41" s="21">
        <f>G40/G24</f>
        <v>4.7513296097905028E-2</v>
      </c>
      <c r="H41" s="21">
        <f>H40/H24</f>
        <v>5.1029487658605162E-2</v>
      </c>
      <c r="I41" s="21">
        <f>I40/I24</f>
        <v>5.2843213098587964E-2</v>
      </c>
      <c r="J41" s="21">
        <f>Assumptions!J20</f>
        <v>5.1999999999999998E-2</v>
      </c>
      <c r="K41" s="21">
        <f>Assumptions!K20</f>
        <v>5.0999999999999997E-2</v>
      </c>
      <c r="L41" s="21">
        <f>Assumptions!L20</f>
        <v>0.05</v>
      </c>
      <c r="M41" s="21">
        <f>Assumptions!M20</f>
        <v>4.9000000000000002E-2</v>
      </c>
      <c r="N41" s="21">
        <f>Assumptions!N20</f>
        <v>4.9000000000000002E-2</v>
      </c>
      <c r="O41" s="21">
        <f>Assumptions!O20</f>
        <v>4.9000000000000002E-2</v>
      </c>
      <c r="P41" s="21">
        <f>Assumptions!P20</f>
        <v>4.9000000000000002E-2</v>
      </c>
      <c r="Q41" s="21">
        <f>Assumptions!Q20</f>
        <v>4.9000000000000002E-2</v>
      </c>
      <c r="R41" s="21">
        <f>Assumptions!R20</f>
        <v>4.9000000000000002E-2</v>
      </c>
      <c r="S41" s="21">
        <f>Assumptions!S20</f>
        <v>4.9000000000000002E-2</v>
      </c>
    </row>
    <row r="42" spans="2:19" outlineLevel="2"/>
    <row r="43" spans="2:19" outlineLevel="2">
      <c r="C43" s="28" t="s">
        <v>17</v>
      </c>
      <c r="D43" s="28"/>
      <c r="E43" s="19">
        <v>401.6</v>
      </c>
      <c r="F43" s="19">
        <v>477</v>
      </c>
      <c r="G43" s="19">
        <v>519.4</v>
      </c>
      <c r="H43" s="19">
        <v>566.1</v>
      </c>
      <c r="I43" s="19">
        <v>605.29999999999995</v>
      </c>
      <c r="J43" s="30">
        <f t="shared" ref="J43:S43" si="94">J44*J24</f>
        <v>565.76038635907332</v>
      </c>
      <c r="K43" s="30">
        <f t="shared" si="94"/>
        <v>583.66249219607653</v>
      </c>
      <c r="L43" s="30">
        <f t="shared" si="94"/>
        <v>622.61178968323304</v>
      </c>
      <c r="M43" s="30">
        <f t="shared" si="94"/>
        <v>647.10032609142786</v>
      </c>
      <c r="N43" s="30">
        <f t="shared" si="94"/>
        <v>682.77092235983571</v>
      </c>
      <c r="O43" s="30">
        <f t="shared" si="94"/>
        <v>716.71647617046597</v>
      </c>
      <c r="P43" s="30">
        <f t="shared" si="94"/>
        <v>748.47234822766609</v>
      </c>
      <c r="Q43" s="30">
        <f t="shared" si="94"/>
        <v>777.58393512603027</v>
      </c>
      <c r="R43" s="30">
        <f t="shared" si="94"/>
        <v>803.61719133268195</v>
      </c>
      <c r="S43" s="30">
        <f t="shared" si="94"/>
        <v>826.16917255810949</v>
      </c>
    </row>
    <row r="44" spans="2:19" outlineLevel="2">
      <c r="C44" s="7" t="s">
        <v>5</v>
      </c>
      <c r="D44" s="7"/>
      <c r="E44" s="21">
        <f>E43/E24</f>
        <v>5.0979993906773637E-2</v>
      </c>
      <c r="F44" s="21">
        <f>F43/F24</f>
        <v>5.1554748549009433E-2</v>
      </c>
      <c r="G44" s="21">
        <f>G43/G24</f>
        <v>4.9505327970414986E-2</v>
      </c>
      <c r="H44" s="21">
        <f>H43/H24</f>
        <v>5.0371042656558646E-2</v>
      </c>
      <c r="I44" s="21">
        <f>I43/I24</f>
        <v>5.1457523952019454E-2</v>
      </c>
      <c r="J44" s="21">
        <f>Assumptions!J21</f>
        <v>0.05</v>
      </c>
      <c r="K44" s="21">
        <f>Assumptions!K21</f>
        <v>4.9000000000000002E-2</v>
      </c>
      <c r="L44" s="21">
        <f>Assumptions!L21</f>
        <v>4.9000000000000002E-2</v>
      </c>
      <c r="M44" s="21">
        <f>Assumptions!M21</f>
        <v>4.8000000000000001E-2</v>
      </c>
      <c r="N44" s="21">
        <f>Assumptions!N21</f>
        <v>4.8000000000000001E-2</v>
      </c>
      <c r="O44" s="21">
        <f>Assumptions!O21</f>
        <v>4.8000000000000001E-2</v>
      </c>
      <c r="P44" s="21">
        <f>Assumptions!P21</f>
        <v>4.8000000000000001E-2</v>
      </c>
      <c r="Q44" s="21">
        <f>Assumptions!Q21</f>
        <v>4.8000000000000001E-2</v>
      </c>
      <c r="R44" s="21">
        <f>Assumptions!R21</f>
        <v>4.8000000000000001E-2</v>
      </c>
      <c r="S44" s="21">
        <f>Assumptions!S21</f>
        <v>4.8000000000000001E-2</v>
      </c>
    </row>
    <row r="45" spans="2:19" outlineLevel="2">
      <c r="C45" s="29"/>
      <c r="D45" s="29"/>
    </row>
    <row r="46" spans="2:19" outlineLevel="2">
      <c r="C46" s="28" t="s">
        <v>18</v>
      </c>
      <c r="D46" s="28"/>
      <c r="E46" s="19">
        <v>212</v>
      </c>
      <c r="F46" s="19">
        <v>235.1</v>
      </c>
      <c r="G46" s="19">
        <v>303.5</v>
      </c>
      <c r="H46" s="19">
        <v>370.5</v>
      </c>
      <c r="I46" s="19">
        <v>370.9</v>
      </c>
      <c r="J46" s="30">
        <f t="shared" ref="J46:S46" si="95">J47*J24</f>
        <v>350.77143954262544</v>
      </c>
      <c r="K46" s="30">
        <f t="shared" si="95"/>
        <v>357.34438297718964</v>
      </c>
      <c r="L46" s="30">
        <f t="shared" si="95"/>
        <v>368.48452858803591</v>
      </c>
      <c r="M46" s="30">
        <f t="shared" si="95"/>
        <v>390.95644701357105</v>
      </c>
      <c r="N46" s="30">
        <f t="shared" si="95"/>
        <v>412.5074322590674</v>
      </c>
      <c r="O46" s="30">
        <f t="shared" si="95"/>
        <v>433.01620435298992</v>
      </c>
      <c r="P46" s="30">
        <f t="shared" si="95"/>
        <v>452.20204372088159</v>
      </c>
      <c r="Q46" s="30">
        <f t="shared" si="95"/>
        <v>469.79029413864333</v>
      </c>
      <c r="R46" s="30">
        <f t="shared" si="95"/>
        <v>485.51871976349537</v>
      </c>
      <c r="S46" s="30">
        <f t="shared" si="95"/>
        <v>499.14387508719119</v>
      </c>
    </row>
    <row r="47" spans="2:19" outlineLevel="2">
      <c r="C47" s="7" t="s">
        <v>5</v>
      </c>
      <c r="D47" s="7"/>
      <c r="E47" s="21">
        <f>E46/E24</f>
        <v>2.6911749771504009E-2</v>
      </c>
      <c r="F47" s="21">
        <f>F46/F24</f>
        <v>2.5409898079396472E-2</v>
      </c>
      <c r="G47" s="21">
        <f>G46/G24</f>
        <v>2.8927352789797744E-2</v>
      </c>
      <c r="H47" s="21">
        <f>H46/H24</f>
        <v>3.2966739629491218E-2</v>
      </c>
      <c r="I47" s="21">
        <f>I46/I24</f>
        <v>3.1530803954739825E-2</v>
      </c>
      <c r="J47" s="21">
        <f>Assumptions!J22</f>
        <v>3.1E-2</v>
      </c>
      <c r="K47" s="21">
        <f>Assumptions!K22</f>
        <v>0.03</v>
      </c>
      <c r="L47" s="21">
        <f>Assumptions!L22</f>
        <v>2.9000000000000001E-2</v>
      </c>
      <c r="M47" s="21">
        <f>Assumptions!M22</f>
        <v>2.9000000000000001E-2</v>
      </c>
      <c r="N47" s="21">
        <f>Assumptions!N22</f>
        <v>2.9000000000000001E-2</v>
      </c>
      <c r="O47" s="21">
        <f>Assumptions!O22</f>
        <v>2.9000000000000001E-2</v>
      </c>
      <c r="P47" s="21">
        <f>Assumptions!P22</f>
        <v>2.9000000000000001E-2</v>
      </c>
      <c r="Q47" s="21">
        <f>Assumptions!Q22</f>
        <v>2.9000000000000001E-2</v>
      </c>
      <c r="R47" s="21">
        <f>Assumptions!R22</f>
        <v>2.9000000000000001E-2</v>
      </c>
      <c r="S47" s="21">
        <f>Assumptions!S22</f>
        <v>2.9000000000000001E-2</v>
      </c>
    </row>
    <row r="48" spans="2:19" outlineLevel="2"/>
    <row r="49" spans="2:21" outlineLevel="2">
      <c r="C49" s="28" t="s">
        <v>19</v>
      </c>
      <c r="D49" s="28"/>
      <c r="E49" s="19">
        <v>278.2</v>
      </c>
      <c r="F49" s="19">
        <v>239.4</v>
      </c>
      <c r="G49" s="19">
        <v>183.7</v>
      </c>
      <c r="H49" s="19">
        <v>463.2</v>
      </c>
      <c r="I49" s="19">
        <v>405.1</v>
      </c>
      <c r="J49" s="30">
        <f t="shared" ref="J49:S49" si="96">J50*J24</f>
        <v>407.34747817853275</v>
      </c>
      <c r="K49" s="30">
        <f t="shared" si="96"/>
        <v>416.90178014005465</v>
      </c>
      <c r="L49" s="30">
        <f t="shared" si="96"/>
        <v>444.72270691659509</v>
      </c>
      <c r="M49" s="30">
        <f t="shared" si="96"/>
        <v>458.36273098142811</v>
      </c>
      <c r="N49" s="30">
        <f t="shared" si="96"/>
        <v>483.629403338217</v>
      </c>
      <c r="O49" s="30">
        <f t="shared" si="96"/>
        <v>507.67417062074679</v>
      </c>
      <c r="P49" s="30">
        <f t="shared" si="96"/>
        <v>530.16791332793014</v>
      </c>
      <c r="Q49" s="30">
        <f t="shared" si="96"/>
        <v>550.78862071427147</v>
      </c>
      <c r="R49" s="30">
        <f t="shared" si="96"/>
        <v>569.2288438606497</v>
      </c>
      <c r="S49" s="30">
        <f t="shared" si="96"/>
        <v>585.20316389532763</v>
      </c>
    </row>
    <row r="50" spans="2:21" outlineLevel="2">
      <c r="C50" s="7" t="s">
        <v>5</v>
      </c>
      <c r="D50" s="7"/>
      <c r="E50" s="21">
        <f>E49/E24</f>
        <v>3.5315324464303847E-2</v>
      </c>
      <c r="F50" s="21">
        <f>F49/F24</f>
        <v>2.5874647384974546E-2</v>
      </c>
      <c r="G50" s="21">
        <f>G49/G24</f>
        <v>1.750891172153491E-2</v>
      </c>
      <c r="H50" s="21">
        <f>H49/H24</f>
        <v>4.1215097965938814E-2</v>
      </c>
      <c r="I50" s="21">
        <f>I49/I24</f>
        <v>3.4438200814411173E-2</v>
      </c>
      <c r="J50" s="21">
        <f>Assumptions!J23</f>
        <v>3.5999999999999997E-2</v>
      </c>
      <c r="K50" s="21">
        <f>Assumptions!K23</f>
        <v>3.5000000000000003E-2</v>
      </c>
      <c r="L50" s="21">
        <f>Assumptions!L23</f>
        <v>3.5000000000000003E-2</v>
      </c>
      <c r="M50" s="21">
        <f>Assumptions!M23</f>
        <v>3.4000000000000002E-2</v>
      </c>
      <c r="N50" s="21">
        <f>Assumptions!N23</f>
        <v>3.4000000000000002E-2</v>
      </c>
      <c r="O50" s="21">
        <f>Assumptions!O23</f>
        <v>3.4000000000000002E-2</v>
      </c>
      <c r="P50" s="21">
        <f>Assumptions!P23</f>
        <v>3.4000000000000002E-2</v>
      </c>
      <c r="Q50" s="21">
        <f>Assumptions!Q23</f>
        <v>3.4000000000000002E-2</v>
      </c>
      <c r="R50" s="21">
        <f>Assumptions!R23</f>
        <v>3.4000000000000002E-2</v>
      </c>
      <c r="S50" s="21">
        <f>Assumptions!S23</f>
        <v>3.4000000000000002E-2</v>
      </c>
    </row>
    <row r="51" spans="2:21" outlineLevel="2"/>
    <row r="52" spans="2:21" outlineLevel="2">
      <c r="C52" s="10" t="s">
        <v>20</v>
      </c>
      <c r="D52" s="11"/>
      <c r="E52" s="31">
        <f t="shared" ref="E52:S52" si="97">E37+E40+E43+E46+E49</f>
        <v>2817.2</v>
      </c>
      <c r="F52" s="31">
        <f t="shared" si="97"/>
        <v>3053.3</v>
      </c>
      <c r="G52" s="31">
        <f t="shared" si="97"/>
        <v>3215.6</v>
      </c>
      <c r="H52" s="31">
        <f t="shared" si="97"/>
        <v>3980.1</v>
      </c>
      <c r="I52" s="31">
        <f t="shared" si="97"/>
        <v>4146.5</v>
      </c>
      <c r="J52" s="31">
        <f t="shared" si="97"/>
        <v>4050.8443663309649</v>
      </c>
      <c r="K52" s="31">
        <f t="shared" si="97"/>
        <v>4133.283363102827</v>
      </c>
      <c r="L52" s="31">
        <f t="shared" si="97"/>
        <v>4320.1634386183514</v>
      </c>
      <c r="M52" s="31">
        <f t="shared" si="97"/>
        <v>4543.1835394335667</v>
      </c>
      <c r="N52" s="31">
        <f t="shared" si="97"/>
        <v>4793.6208507346801</v>
      </c>
      <c r="O52" s="31">
        <f t="shared" si="97"/>
        <v>5031.9469264468134</v>
      </c>
      <c r="P52" s="31">
        <f t="shared" si="97"/>
        <v>5254.8996115150712</v>
      </c>
      <c r="Q52" s="31">
        <f t="shared" si="97"/>
        <v>5459.2872111973375</v>
      </c>
      <c r="R52" s="31">
        <f t="shared" si="97"/>
        <v>5642.0623641482034</v>
      </c>
      <c r="S52" s="32">
        <f t="shared" si="97"/>
        <v>5800.3960656683939</v>
      </c>
    </row>
    <row r="53" spans="2:21" outlineLevel="2">
      <c r="C53" s="14" t="s">
        <v>5</v>
      </c>
      <c r="D53" s="66"/>
      <c r="E53" s="33">
        <f t="shared" ref="E53:S53" si="98">E52/E24</f>
        <v>0.35762161064283532</v>
      </c>
      <c r="F53" s="33">
        <f t="shared" si="98"/>
        <v>0.33000443133058804</v>
      </c>
      <c r="G53" s="33">
        <f t="shared" si="98"/>
        <v>0.30648697077717835</v>
      </c>
      <c r="H53" s="33">
        <f t="shared" si="98"/>
        <v>0.35414553414126315</v>
      </c>
      <c r="I53" s="33">
        <f t="shared" si="98"/>
        <v>0.35250061633412966</v>
      </c>
      <c r="J53" s="33">
        <f t="shared" si="98"/>
        <v>0.35799999999999998</v>
      </c>
      <c r="K53" s="33">
        <f t="shared" si="98"/>
        <v>0.34699999999999998</v>
      </c>
      <c r="L53" s="33">
        <f t="shared" si="98"/>
        <v>0.33999999999999997</v>
      </c>
      <c r="M53" s="33">
        <f t="shared" si="98"/>
        <v>0.33700000000000002</v>
      </c>
      <c r="N53" s="33">
        <f t="shared" si="98"/>
        <v>0.33700000000000002</v>
      </c>
      <c r="O53" s="33">
        <f t="shared" si="98"/>
        <v>0.33700000000000002</v>
      </c>
      <c r="P53" s="33">
        <f t="shared" si="98"/>
        <v>0.33699999999999997</v>
      </c>
      <c r="Q53" s="33">
        <f t="shared" si="98"/>
        <v>0.33700000000000002</v>
      </c>
      <c r="R53" s="33">
        <f t="shared" si="98"/>
        <v>0.33699999999999997</v>
      </c>
      <c r="S53" s="34">
        <f t="shared" si="98"/>
        <v>0.33700000000000002</v>
      </c>
      <c r="U53" s="20"/>
    </row>
    <row r="54" spans="2:21" outlineLevel="2"/>
    <row r="55" spans="2:21" outlineLevel="2">
      <c r="C55" s="22" t="s">
        <v>21</v>
      </c>
      <c r="D55" s="67"/>
      <c r="E55" s="23">
        <f t="shared" ref="E55:S55" si="99">E32-E52</f>
        <v>1497.7000000000007</v>
      </c>
      <c r="F55" s="23">
        <f t="shared" si="99"/>
        <v>1738.0000000000009</v>
      </c>
      <c r="G55" s="23">
        <f t="shared" si="99"/>
        <v>1964.2000000000012</v>
      </c>
      <c r="H55" s="23">
        <f t="shared" si="99"/>
        <v>2044.7000000000003</v>
      </c>
      <c r="I55" s="23">
        <f t="shared" si="99"/>
        <v>2269.4999999999982</v>
      </c>
      <c r="J55" s="23">
        <f t="shared" si="99"/>
        <v>2172.5198836188415</v>
      </c>
      <c r="K55" s="23">
        <f t="shared" si="99"/>
        <v>2418.0303248123164</v>
      </c>
      <c r="L55" s="23">
        <f t="shared" si="99"/>
        <v>2668.3362414995709</v>
      </c>
      <c r="M55" s="23">
        <f t="shared" si="99"/>
        <v>2871.5076970307109</v>
      </c>
      <c r="N55" s="23">
        <f t="shared" si="99"/>
        <v>3029.7959679717706</v>
      </c>
      <c r="O55" s="23">
        <f t="shared" si="99"/>
        <v>3180.4293630064421</v>
      </c>
      <c r="P55" s="23">
        <f t="shared" si="99"/>
        <v>3321.3460452602685</v>
      </c>
      <c r="Q55" s="23">
        <f t="shared" si="99"/>
        <v>3450.5287121217589</v>
      </c>
      <c r="R55" s="23">
        <f t="shared" si="99"/>
        <v>3566.0512865387773</v>
      </c>
      <c r="S55" s="24">
        <f t="shared" si="99"/>
        <v>3666.1257032266094</v>
      </c>
    </row>
    <row r="56" spans="2:21" outlineLevel="2">
      <c r="C56" s="27" t="s">
        <v>5</v>
      </c>
      <c r="D56" s="68"/>
      <c r="E56" s="25">
        <f t="shared" ref="E56:S56" si="100">E55/E24</f>
        <v>0.19012135675840366</v>
      </c>
      <c r="F56" s="25">
        <f t="shared" si="100"/>
        <v>0.18784518444062565</v>
      </c>
      <c r="G56" s="25">
        <f t="shared" si="100"/>
        <v>0.18721287100402229</v>
      </c>
      <c r="H56" s="25">
        <f t="shared" si="100"/>
        <v>0.18193547238979946</v>
      </c>
      <c r="I56" s="25">
        <f t="shared" si="100"/>
        <v>0.19293383546854131</v>
      </c>
      <c r="J56" s="25">
        <f t="shared" si="100"/>
        <v>0.19199999999999998</v>
      </c>
      <c r="K56" s="25">
        <f t="shared" si="100"/>
        <v>0.20299999999999996</v>
      </c>
      <c r="L56" s="25">
        <f t="shared" si="100"/>
        <v>0.21000000000000005</v>
      </c>
      <c r="M56" s="25">
        <f t="shared" si="100"/>
        <v>0.21299999999999997</v>
      </c>
      <c r="N56" s="25">
        <f t="shared" si="100"/>
        <v>0.21299999999999997</v>
      </c>
      <c r="O56" s="25">
        <f t="shared" si="100"/>
        <v>0.21299999999999997</v>
      </c>
      <c r="P56" s="25">
        <f t="shared" si="100"/>
        <v>0.21300000000000002</v>
      </c>
      <c r="Q56" s="25">
        <f t="shared" si="100"/>
        <v>0.21299999999999997</v>
      </c>
      <c r="R56" s="25">
        <f t="shared" si="100"/>
        <v>0.21300000000000008</v>
      </c>
      <c r="S56" s="26">
        <f t="shared" si="100"/>
        <v>0.21299999999999991</v>
      </c>
    </row>
    <row r="57" spans="2:21" outlineLevel="2">
      <c r="C57" s="56"/>
      <c r="D57" s="5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</row>
    <row r="58" spans="2:21" outlineLevel="2">
      <c r="B58" t="s">
        <v>0</v>
      </c>
      <c r="C58" s="200" t="s">
        <v>22</v>
      </c>
      <c r="D58" s="200"/>
      <c r="E58" s="201">
        <v>2020</v>
      </c>
      <c r="F58" s="201">
        <f>E58+1</f>
        <v>2021</v>
      </c>
      <c r="G58" s="201">
        <f t="shared" ref="G58" si="101">F58+1</f>
        <v>2022</v>
      </c>
      <c r="H58" s="201">
        <f t="shared" ref="H58" si="102">G58+1</f>
        <v>2023</v>
      </c>
      <c r="I58" s="201">
        <f t="shared" ref="I58" si="103">H58+1</f>
        <v>2024</v>
      </c>
      <c r="J58" s="202">
        <f t="shared" ref="J58" si="104">I58+1</f>
        <v>2025</v>
      </c>
      <c r="K58" s="202">
        <f t="shared" ref="K58" si="105">J58+1</f>
        <v>2026</v>
      </c>
      <c r="L58" s="202">
        <f t="shared" ref="L58" si="106">K58+1</f>
        <v>2027</v>
      </c>
      <c r="M58" s="202">
        <f t="shared" ref="M58" si="107">L58+1</f>
        <v>2028</v>
      </c>
      <c r="N58" s="202">
        <f t="shared" ref="N58" si="108">M58+1</f>
        <v>2029</v>
      </c>
      <c r="O58" s="202">
        <f t="shared" ref="O58" si="109">N58+1</f>
        <v>2030</v>
      </c>
      <c r="P58" s="202">
        <f t="shared" ref="P58" si="110">O58+1</f>
        <v>2031</v>
      </c>
      <c r="Q58" s="202">
        <f t="shared" ref="Q58" si="111">P58+1</f>
        <v>2032</v>
      </c>
      <c r="R58" s="202">
        <f t="shared" ref="R58" si="112">Q58+1</f>
        <v>2033</v>
      </c>
      <c r="S58" s="202">
        <f t="shared" ref="S58" si="113">R58+1</f>
        <v>2034</v>
      </c>
    </row>
    <row r="59" spans="2:21" outlineLevel="2">
      <c r="C59" s="56"/>
      <c r="D59" s="56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</row>
    <row r="60" spans="2:21" outlineLevel="2">
      <c r="C60" s="58" t="s">
        <v>23</v>
      </c>
      <c r="D60" s="58"/>
      <c r="E60" s="60">
        <f>169.3+85.5</f>
        <v>254.8</v>
      </c>
      <c r="F60" s="60">
        <f>165.8+84.5</f>
        <v>250.3</v>
      </c>
      <c r="G60" s="60">
        <f>174.5+86.1</f>
        <v>260.60000000000002</v>
      </c>
      <c r="H60" s="60">
        <f>200+106</f>
        <v>306</v>
      </c>
      <c r="I60" s="60">
        <f>220.7+120.8</f>
        <v>341.5</v>
      </c>
      <c r="J60" s="59">
        <f>J300</f>
        <v>383.24313451889554</v>
      </c>
      <c r="K60" s="59">
        <f t="shared" ref="K60:S60" si="114">K300</f>
        <v>423.62303136421127</v>
      </c>
      <c r="L60" s="59">
        <f t="shared" si="114"/>
        <v>465.19318282182792</v>
      </c>
      <c r="M60" s="59">
        <f t="shared" si="114"/>
        <v>474.047737507075</v>
      </c>
      <c r="N60" s="59">
        <f t="shared" si="114"/>
        <v>438.18835076413126</v>
      </c>
      <c r="O60" s="59">
        <f t="shared" si="114"/>
        <v>481.25332304832762</v>
      </c>
      <c r="P60" s="59">
        <f t="shared" si="114"/>
        <v>502.07297086498852</v>
      </c>
      <c r="Q60" s="59">
        <f t="shared" si="114"/>
        <v>521.07451846224558</v>
      </c>
      <c r="R60" s="59">
        <f t="shared" si="114"/>
        <v>496.03736815894399</v>
      </c>
      <c r="S60" s="59">
        <f t="shared" si="114"/>
        <v>320.73893523756914</v>
      </c>
    </row>
    <row r="61" spans="2:21" outlineLevel="2">
      <c r="C61" s="56" t="s">
        <v>5</v>
      </c>
      <c r="D61" s="56"/>
      <c r="E61" s="57">
        <f t="shared" ref="E61:S61" si="115">E60/E24</f>
        <v>3.2344876612166139E-2</v>
      </c>
      <c r="F61" s="57">
        <f t="shared" si="115"/>
        <v>2.705273283399803E-2</v>
      </c>
      <c r="G61" s="57">
        <f t="shared" si="115"/>
        <v>2.4838445262014144E-2</v>
      </c>
      <c r="H61" s="57">
        <f t="shared" si="115"/>
        <v>2.7227590625166834E-2</v>
      </c>
      <c r="I61" s="57">
        <f t="shared" si="115"/>
        <v>2.9031462794671475E-2</v>
      </c>
      <c r="J61" s="57">
        <f t="shared" si="115"/>
        <v>3.3869739182804955E-2</v>
      </c>
      <c r="K61" s="57">
        <f t="shared" si="115"/>
        <v>3.5564266702738601E-2</v>
      </c>
      <c r="L61" s="57">
        <f t="shared" si="115"/>
        <v>3.6611041319771241E-2</v>
      </c>
      <c r="M61" s="57">
        <f t="shared" si="115"/>
        <v>3.5163467677073429E-2</v>
      </c>
      <c r="N61" s="57">
        <f t="shared" si="115"/>
        <v>3.0805413862650427E-2</v>
      </c>
      <c r="O61" s="57">
        <f t="shared" si="115"/>
        <v>3.2230540631279579E-2</v>
      </c>
      <c r="P61" s="57">
        <f t="shared" si="115"/>
        <v>3.2198253761258525E-2</v>
      </c>
      <c r="Q61" s="57">
        <f t="shared" si="115"/>
        <v>3.2165758262654859E-2</v>
      </c>
      <c r="R61" s="57">
        <f t="shared" si="115"/>
        <v>2.9628278150874598E-2</v>
      </c>
      <c r="S61" s="57">
        <f t="shared" si="115"/>
        <v>1.8634765617958786E-2</v>
      </c>
    </row>
    <row r="62" spans="2:21" outlineLevel="2">
      <c r="C62" s="56"/>
      <c r="D62" s="56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</row>
    <row r="63" spans="2:21" outlineLevel="2">
      <c r="C63" s="58" t="s">
        <v>24</v>
      </c>
      <c r="D63" s="58"/>
      <c r="E63" s="53">
        <v>112.3</v>
      </c>
      <c r="F63" s="53">
        <v>116.3</v>
      </c>
      <c r="G63" s="53">
        <v>123.9</v>
      </c>
      <c r="H63" s="53">
        <v>179.3</v>
      </c>
      <c r="I63" s="53">
        <v>214.1</v>
      </c>
      <c r="J63" s="59">
        <f>J303</f>
        <v>215.29748413755073</v>
      </c>
      <c r="K63" s="59">
        <f t="shared" ref="K63:S63" si="116">K303</f>
        <v>217.06199563809881</v>
      </c>
      <c r="L63" s="59">
        <f t="shared" si="116"/>
        <v>218.94425752396938</v>
      </c>
      <c r="M63" s="59">
        <f t="shared" si="116"/>
        <v>220.94130858624538</v>
      </c>
      <c r="N63" s="59">
        <f t="shared" si="116"/>
        <v>223.04844459099104</v>
      </c>
      <c r="O63" s="59">
        <f t="shared" si="116"/>
        <v>225.26034179205152</v>
      </c>
      <c r="P63" s="59">
        <f t="shared" si="116"/>
        <v>227.57024249499307</v>
      </c>
      <c r="Q63" s="59">
        <f t="shared" si="116"/>
        <v>229.96998602940261</v>
      </c>
      <c r="R63" s="59">
        <f t="shared" si="116"/>
        <v>232.45007219364211</v>
      </c>
      <c r="S63" s="59">
        <f t="shared" si="116"/>
        <v>145.48674152722327</v>
      </c>
    </row>
    <row r="64" spans="2:21" outlineLevel="2">
      <c r="C64" s="56" t="s">
        <v>5</v>
      </c>
      <c r="D64" s="56"/>
      <c r="E64" s="57">
        <f t="shared" ref="E64:S64" si="117">E63/E24</f>
        <v>1.4255610845942925E-2</v>
      </c>
      <c r="F64" s="57">
        <f t="shared" si="117"/>
        <v>1.2569847497379029E-2</v>
      </c>
      <c r="G64" s="57">
        <f t="shared" si="117"/>
        <v>1.1809222440382012E-2</v>
      </c>
      <c r="H64" s="57">
        <f t="shared" si="117"/>
        <v>1.5953944441478476E-2</v>
      </c>
      <c r="I64" s="57">
        <f t="shared" si="117"/>
        <v>1.8200984434375293E-2</v>
      </c>
      <c r="J64" s="57">
        <f t="shared" si="117"/>
        <v>1.9027267490667597E-2</v>
      </c>
      <c r="K64" s="57">
        <f t="shared" si="117"/>
        <v>1.8222924941172603E-2</v>
      </c>
      <c r="L64" s="57">
        <f t="shared" si="117"/>
        <v>1.7231072068411575E-2</v>
      </c>
      <c r="M64" s="57">
        <f t="shared" si="117"/>
        <v>1.6388776800958352E-2</v>
      </c>
      <c r="N64" s="57">
        <f t="shared" si="117"/>
        <v>1.5680699030596816E-2</v>
      </c>
      <c r="O64" s="57">
        <f t="shared" si="117"/>
        <v>1.5086155775002438E-2</v>
      </c>
      <c r="P64" s="57">
        <f t="shared" si="117"/>
        <v>1.459422203856362E-2</v>
      </c>
      <c r="Q64" s="57">
        <f t="shared" si="117"/>
        <v>1.4195971432488769E-2</v>
      </c>
      <c r="R64" s="57">
        <f t="shared" si="117"/>
        <v>1.3884226949888371E-2</v>
      </c>
      <c r="S64" s="57">
        <f t="shared" si="117"/>
        <v>8.4527041497854186E-3</v>
      </c>
    </row>
    <row r="65" spans="2:19" outlineLevel="2">
      <c r="C65" s="56"/>
      <c r="D65" s="56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</row>
    <row r="66" spans="2:19" outlineLevel="2">
      <c r="C66" s="10" t="s">
        <v>22</v>
      </c>
      <c r="D66" s="11"/>
      <c r="E66" s="31">
        <f t="shared" ref="E66:I66" si="118">E60+E63</f>
        <v>367.1</v>
      </c>
      <c r="F66" s="31">
        <f t="shared" si="118"/>
        <v>366.6</v>
      </c>
      <c r="G66" s="31">
        <f t="shared" si="118"/>
        <v>384.5</v>
      </c>
      <c r="H66" s="31">
        <f t="shared" si="118"/>
        <v>485.3</v>
      </c>
      <c r="I66" s="31">
        <f t="shared" si="118"/>
        <v>555.6</v>
      </c>
      <c r="J66" s="31">
        <f>J60+J63</f>
        <v>598.54061865644621</v>
      </c>
      <c r="K66" s="31">
        <f t="shared" ref="K66:M66" si="119">K60+K63</f>
        <v>640.68502700231011</v>
      </c>
      <c r="L66" s="31">
        <f t="shared" si="119"/>
        <v>684.13744034579736</v>
      </c>
      <c r="M66" s="31">
        <f t="shared" si="119"/>
        <v>694.98904609332044</v>
      </c>
      <c r="N66" s="31">
        <f t="shared" ref="N66:S66" si="120">N60+N63</f>
        <v>661.23679535512224</v>
      </c>
      <c r="O66" s="31">
        <f t="shared" si="120"/>
        <v>706.51366484037908</v>
      </c>
      <c r="P66" s="31">
        <f t="shared" si="120"/>
        <v>729.64321335998159</v>
      </c>
      <c r="Q66" s="31">
        <f t="shared" si="120"/>
        <v>751.04450449164824</v>
      </c>
      <c r="R66" s="31">
        <f>R60+R63</f>
        <v>728.48744035258608</v>
      </c>
      <c r="S66" s="32">
        <f t="shared" si="120"/>
        <v>466.22567676479241</v>
      </c>
    </row>
    <row r="67" spans="2:19" outlineLevel="2">
      <c r="C67" s="14" t="s">
        <v>5</v>
      </c>
      <c r="D67" s="66"/>
      <c r="E67" s="33">
        <f t="shared" ref="E67:S67" si="121">E66/E24</f>
        <v>4.6600487458109068E-2</v>
      </c>
      <c r="F67" s="33">
        <f t="shared" si="121"/>
        <v>3.9622580331377062E-2</v>
      </c>
      <c r="G67" s="33">
        <f t="shared" si="121"/>
        <v>3.664766770239615E-2</v>
      </c>
      <c r="H67" s="33">
        <f t="shared" si="121"/>
        <v>4.3181535066645314E-2</v>
      </c>
      <c r="I67" s="33">
        <f t="shared" si="121"/>
        <v>4.7232447229046771E-2</v>
      </c>
      <c r="J67" s="33">
        <f t="shared" si="121"/>
        <v>5.2897006673472552E-2</v>
      </c>
      <c r="K67" s="33">
        <f t="shared" si="121"/>
        <v>5.3787191643911207E-2</v>
      </c>
      <c r="L67" s="33">
        <f t="shared" si="121"/>
        <v>5.3842113388182823E-2</v>
      </c>
      <c r="M67" s="33">
        <f t="shared" si="121"/>
        <v>5.1552244478031785E-2</v>
      </c>
      <c r="N67" s="33">
        <f t="shared" si="121"/>
        <v>4.6486112893247236E-2</v>
      </c>
      <c r="O67" s="33">
        <f t="shared" si="121"/>
        <v>4.7316696406282013E-2</v>
      </c>
      <c r="P67" s="33">
        <f t="shared" si="121"/>
        <v>4.6792475799822146E-2</v>
      </c>
      <c r="Q67" s="33">
        <f t="shared" si="121"/>
        <v>4.6361729695143628E-2</v>
      </c>
      <c r="R67" s="33">
        <f t="shared" si="121"/>
        <v>4.3512505100762967E-2</v>
      </c>
      <c r="S67" s="34">
        <f t="shared" si="121"/>
        <v>2.7087469767744204E-2</v>
      </c>
    </row>
    <row r="68" spans="2:19" outlineLevel="2">
      <c r="C68" s="56"/>
      <c r="D68" s="56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</row>
    <row r="69" spans="2:19" outlineLevel="2">
      <c r="B69" t="s">
        <v>0</v>
      </c>
      <c r="C69" s="58" t="s">
        <v>25</v>
      </c>
      <c r="D69" s="58"/>
      <c r="E69" s="62">
        <v>0</v>
      </c>
      <c r="F69" s="62">
        <v>0</v>
      </c>
      <c r="G69" s="62">
        <v>0</v>
      </c>
      <c r="H69" s="62">
        <v>10.3</v>
      </c>
      <c r="I69" s="62">
        <v>0</v>
      </c>
      <c r="J69" s="59">
        <f t="shared" ref="J69:S69" si="122">J70*J24</f>
        <v>0</v>
      </c>
      <c r="K69" s="59">
        <f t="shared" si="122"/>
        <v>0</v>
      </c>
      <c r="L69" s="59">
        <f t="shared" si="122"/>
        <v>0</v>
      </c>
      <c r="M69" s="59">
        <f t="shared" si="122"/>
        <v>0</v>
      </c>
      <c r="N69" s="59">
        <f t="shared" si="122"/>
        <v>0</v>
      </c>
      <c r="O69" s="59">
        <f t="shared" si="122"/>
        <v>0</v>
      </c>
      <c r="P69" s="59">
        <f t="shared" si="122"/>
        <v>0</v>
      </c>
      <c r="Q69" s="59">
        <f t="shared" si="122"/>
        <v>0</v>
      </c>
      <c r="R69" s="59">
        <f t="shared" si="122"/>
        <v>0</v>
      </c>
      <c r="S69" s="59">
        <f t="shared" si="122"/>
        <v>0</v>
      </c>
    </row>
    <row r="70" spans="2:19" outlineLevel="2">
      <c r="C70" s="56" t="s">
        <v>5</v>
      </c>
      <c r="D70" s="56"/>
      <c r="E70" s="57">
        <f>E69/E24</f>
        <v>0</v>
      </c>
      <c r="F70" s="57">
        <f>F69/F24</f>
        <v>0</v>
      </c>
      <c r="G70" s="57">
        <f>G69/G24</f>
        <v>0</v>
      </c>
      <c r="H70" s="57">
        <f>H69/H24</f>
        <v>9.1648425960528894E-4</v>
      </c>
      <c r="I70" s="57">
        <f>I69/I24</f>
        <v>0</v>
      </c>
      <c r="J70" s="57">
        <f>Assumptions!J53</f>
        <v>0</v>
      </c>
      <c r="K70" s="57">
        <f>Assumptions!K53</f>
        <v>0</v>
      </c>
      <c r="L70" s="57">
        <f>Assumptions!L53</f>
        <v>0</v>
      </c>
      <c r="M70" s="57">
        <f>Assumptions!M53</f>
        <v>0</v>
      </c>
      <c r="N70" s="57">
        <f>Assumptions!N53</f>
        <v>0</v>
      </c>
      <c r="O70" s="57">
        <f>Assumptions!O53</f>
        <v>0</v>
      </c>
      <c r="P70" s="57">
        <f>Assumptions!P53</f>
        <v>0</v>
      </c>
      <c r="Q70" s="57">
        <f>Assumptions!Q53</f>
        <v>0</v>
      </c>
      <c r="R70" s="57">
        <f>Assumptions!R53</f>
        <v>0</v>
      </c>
      <c r="S70" s="57">
        <f>Assumptions!S53</f>
        <v>0</v>
      </c>
    </row>
    <row r="71" spans="2:19" outlineLevel="2">
      <c r="C71" s="56"/>
      <c r="D71" s="56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</row>
    <row r="72" spans="2:19" outlineLevel="2">
      <c r="C72" s="22" t="s">
        <v>26</v>
      </c>
      <c r="D72" s="67"/>
      <c r="E72" s="23">
        <f>E55-E66-E69</f>
        <v>1130.6000000000008</v>
      </c>
      <c r="F72" s="23">
        <f t="shared" ref="F72:H72" si="123">F55-F66-F69</f>
        <v>1371.400000000001</v>
      </c>
      <c r="G72" s="23">
        <f t="shared" si="123"/>
        <v>1579.7000000000012</v>
      </c>
      <c r="H72" s="23">
        <f t="shared" si="123"/>
        <v>1549.1000000000004</v>
      </c>
      <c r="I72" s="23">
        <f>I55-I66-I69</f>
        <v>1713.8999999999983</v>
      </c>
      <c r="J72" s="23">
        <f>J55-J66-J69</f>
        <v>1573.9792649623953</v>
      </c>
      <c r="K72" s="23">
        <f t="shared" ref="K72:S72" si="124">K55-K66-K69</f>
        <v>1777.3452978100063</v>
      </c>
      <c r="L72" s="23">
        <f t="shared" si="124"/>
        <v>1984.1988011537735</v>
      </c>
      <c r="M72" s="23">
        <f t="shared" si="124"/>
        <v>2176.5186509373907</v>
      </c>
      <c r="N72" s="23">
        <f t="shared" si="124"/>
        <v>2368.5591726166485</v>
      </c>
      <c r="O72" s="23">
        <f t="shared" si="124"/>
        <v>2473.9156981660631</v>
      </c>
      <c r="P72" s="23">
        <f t="shared" si="124"/>
        <v>2591.702831900287</v>
      </c>
      <c r="Q72" s="23">
        <f t="shared" si="124"/>
        <v>2699.4842076301106</v>
      </c>
      <c r="R72" s="23">
        <f t="shared" si="124"/>
        <v>2837.5638461861913</v>
      </c>
      <c r="S72" s="24">
        <f t="shared" si="124"/>
        <v>3199.9000264618171</v>
      </c>
    </row>
    <row r="73" spans="2:19" outlineLevel="2">
      <c r="C73" s="27" t="s">
        <v>5</v>
      </c>
      <c r="D73" s="68"/>
      <c r="E73" s="25">
        <f t="shared" ref="E73:S73" si="125">E72/E24</f>
        <v>0.14352086930029459</v>
      </c>
      <c r="F73" s="25">
        <f t="shared" si="125"/>
        <v>0.14822260410924859</v>
      </c>
      <c r="G73" s="25">
        <f t="shared" si="125"/>
        <v>0.15056520330162612</v>
      </c>
      <c r="H73" s="25">
        <f t="shared" si="125"/>
        <v>0.13783745306354886</v>
      </c>
      <c r="I73" s="25">
        <f t="shared" si="125"/>
        <v>0.14570138823949455</v>
      </c>
      <c r="J73" s="25">
        <f t="shared" si="125"/>
        <v>0.13910299332652742</v>
      </c>
      <c r="K73" s="25">
        <f t="shared" si="125"/>
        <v>0.14921280835608877</v>
      </c>
      <c r="L73" s="25">
        <f t="shared" si="125"/>
        <v>0.15615788661181723</v>
      </c>
      <c r="M73" s="25">
        <f t="shared" si="125"/>
        <v>0.16144775552196822</v>
      </c>
      <c r="N73" s="25">
        <f t="shared" si="125"/>
        <v>0.16651388710675274</v>
      </c>
      <c r="O73" s="25">
        <f t="shared" si="125"/>
        <v>0.16568330359371794</v>
      </c>
      <c r="P73" s="25">
        <f t="shared" si="125"/>
        <v>0.1662075242001779</v>
      </c>
      <c r="Q73" s="25">
        <f t="shared" si="125"/>
        <v>0.16663827030485634</v>
      </c>
      <c r="R73" s="25">
        <f t="shared" si="125"/>
        <v>0.16948749489923712</v>
      </c>
      <c r="S73" s="26">
        <f t="shared" si="125"/>
        <v>0.18591253023225571</v>
      </c>
    </row>
    <row r="74" spans="2:19" outlineLevel="2"/>
    <row r="75" spans="2:19" outlineLevel="2">
      <c r="B75" t="s">
        <v>0</v>
      </c>
      <c r="C75" s="200" t="s">
        <v>27</v>
      </c>
      <c r="D75" s="200"/>
      <c r="E75" s="201">
        <v>2020</v>
      </c>
      <c r="F75" s="201">
        <f>E75+1</f>
        <v>2021</v>
      </c>
      <c r="G75" s="201">
        <f t="shared" ref="G75" si="126">F75+1</f>
        <v>2022</v>
      </c>
      <c r="H75" s="201">
        <f t="shared" ref="H75" si="127">G75+1</f>
        <v>2023</v>
      </c>
      <c r="I75" s="201">
        <f t="shared" ref="I75" si="128">H75+1</f>
        <v>2024</v>
      </c>
      <c r="J75" s="202">
        <f t="shared" ref="J75" si="129">I75+1</f>
        <v>2025</v>
      </c>
      <c r="K75" s="202">
        <f t="shared" ref="K75" si="130">J75+1</f>
        <v>2026</v>
      </c>
      <c r="L75" s="202">
        <f t="shared" ref="L75" si="131">K75+1</f>
        <v>2027</v>
      </c>
      <c r="M75" s="202">
        <f t="shared" ref="M75" si="132">L75+1</f>
        <v>2028</v>
      </c>
      <c r="N75" s="202">
        <f t="shared" ref="N75" si="133">M75+1</f>
        <v>2029</v>
      </c>
      <c r="O75" s="202">
        <f t="shared" ref="O75" si="134">N75+1</f>
        <v>2030</v>
      </c>
      <c r="P75" s="202">
        <f t="shared" ref="P75" si="135">O75+1</f>
        <v>2031</v>
      </c>
      <c r="Q75" s="202">
        <f t="shared" ref="Q75" si="136">P75+1</f>
        <v>2032</v>
      </c>
      <c r="R75" s="202">
        <f t="shared" ref="R75" si="137">Q75+1</f>
        <v>2033</v>
      </c>
      <c r="S75" s="202">
        <f t="shared" ref="S75" si="138">R75+1</f>
        <v>2034</v>
      </c>
    </row>
    <row r="76" spans="2:19" outlineLevel="2"/>
    <row r="77" spans="2:19" outlineLevel="2">
      <c r="C77" s="3" t="s">
        <v>28</v>
      </c>
      <c r="D77" s="3"/>
      <c r="E77" s="19">
        <v>57.4</v>
      </c>
      <c r="F77" s="19">
        <v>56.9</v>
      </c>
      <c r="G77" s="19">
        <v>59.4</v>
      </c>
      <c r="H77" s="19">
        <v>165.7</v>
      </c>
      <c r="I77" s="19">
        <v>185.9</v>
      </c>
      <c r="J77" s="30">
        <f>J341</f>
        <v>146.68659200000002</v>
      </c>
      <c r="K77" s="30">
        <f t="shared" ref="K77:S77" si="139">K341</f>
        <v>144.67415150838238</v>
      </c>
      <c r="L77" s="30">
        <f t="shared" si="139"/>
        <v>141.18950122987914</v>
      </c>
      <c r="M77" s="30">
        <f t="shared" si="139"/>
        <v>136.22237221162939</v>
      </c>
      <c r="N77" s="30">
        <f t="shared" si="139"/>
        <v>136.22237221162939</v>
      </c>
      <c r="O77" s="30">
        <f t="shared" si="139"/>
        <v>136.22237221162939</v>
      </c>
      <c r="P77" s="30">
        <f t="shared" si="139"/>
        <v>136.22237221162939</v>
      </c>
      <c r="Q77" s="30">
        <f t="shared" si="139"/>
        <v>136.22237221162939</v>
      </c>
      <c r="R77" s="30">
        <f t="shared" si="139"/>
        <v>136.22237221162939</v>
      </c>
      <c r="S77" s="30">
        <f t="shared" si="139"/>
        <v>136.22237221162939</v>
      </c>
    </row>
    <row r="78" spans="2:19" outlineLevel="2">
      <c r="C78" s="7" t="s">
        <v>5</v>
      </c>
      <c r="D78" s="7"/>
      <c r="E78" s="21">
        <f t="shared" ref="E78:S78" si="140">E77/E24</f>
        <v>7.2864831928506138E-3</v>
      </c>
      <c r="F78" s="21">
        <f t="shared" si="140"/>
        <v>6.1498222063703072E-3</v>
      </c>
      <c r="G78" s="21">
        <f t="shared" si="140"/>
        <v>5.6615642692388335E-3</v>
      </c>
      <c r="H78" s="21">
        <f t="shared" si="140"/>
        <v>1.4743829302582171E-2</v>
      </c>
      <c r="I78" s="21">
        <f t="shared" si="140"/>
        <v>1.5803657199207694E-2</v>
      </c>
      <c r="J78" s="21">
        <f t="shared" si="140"/>
        <v>1.2963667617663661E-2</v>
      </c>
      <c r="K78" s="21">
        <f t="shared" si="140"/>
        <v>1.2145775201756902E-2</v>
      </c>
      <c r="L78" s="21">
        <f t="shared" si="140"/>
        <v>1.1111716281157962E-2</v>
      </c>
      <c r="M78" s="21">
        <f t="shared" si="140"/>
        <v>1.0104575136984819E-2</v>
      </c>
      <c r="N78" s="21">
        <f t="shared" si="140"/>
        <v>9.5766730129028289E-3</v>
      </c>
      <c r="O78" s="21">
        <f t="shared" si="140"/>
        <v>9.123096905899835E-3</v>
      </c>
      <c r="P78" s="21">
        <f t="shared" si="140"/>
        <v>8.7360259622701712E-3</v>
      </c>
      <c r="Q78" s="21">
        <f t="shared" si="140"/>
        <v>8.4089621335842381E-3</v>
      </c>
      <c r="R78" s="21">
        <f t="shared" si="140"/>
        <v>8.1365529964768091E-3</v>
      </c>
      <c r="S78" s="21">
        <f t="shared" si="140"/>
        <v>7.9144491023698978E-3</v>
      </c>
    </row>
    <row r="79" spans="2:19" outlineLevel="2">
      <c r="C79" s="7"/>
      <c r="D79" s="7"/>
    </row>
    <row r="80" spans="2:19" outlineLevel="2">
      <c r="C80" s="3" t="s">
        <v>29</v>
      </c>
      <c r="D80" s="3"/>
      <c r="E80" s="19">
        <v>5.5</v>
      </c>
      <c r="F80" s="19">
        <v>11.5</v>
      </c>
      <c r="G80" s="19">
        <v>19</v>
      </c>
      <c r="H80" s="19">
        <v>30.9</v>
      </c>
      <c r="I80" s="19">
        <v>26.6</v>
      </c>
      <c r="J80" s="30">
        <f>Assumptions!J40</f>
        <v>14.626968292491904</v>
      </c>
      <c r="K80" s="30">
        <f>Assumptions!K40</f>
        <v>20.415725712432195</v>
      </c>
      <c r="L80" s="30">
        <f>Assumptions!L40</f>
        <v>27.410596486257667</v>
      </c>
      <c r="M80" s="30">
        <f>Assumptions!M40</f>
        <v>34.655265280445256</v>
      </c>
      <c r="N80" s="30">
        <f>Assumptions!N40</f>
        <v>42.21281646748497</v>
      </c>
      <c r="O80" s="30">
        <f>Assumptions!O40</f>
        <v>49.497181318030187</v>
      </c>
      <c r="P80" s="30">
        <f>Assumptions!P40</f>
        <v>57.94580303082499</v>
      </c>
      <c r="Q80" s="30">
        <f>Assumptions!Q40</f>
        <v>68.360128607307104</v>
      </c>
      <c r="R80" s="30">
        <f>Assumptions!R40</f>
        <v>81.500982349802811</v>
      </c>
      <c r="S80" s="30">
        <f>Assumptions!S40</f>
        <v>97.553833608422508</v>
      </c>
    </row>
    <row r="81" spans="2:19" outlineLevel="2">
      <c r="C81" s="7" t="s">
        <v>5</v>
      </c>
      <c r="D81" s="7"/>
      <c r="E81" s="21">
        <f t="shared" ref="E81:S81" si="141">E80/E24</f>
        <v>6.9818218746826443E-4</v>
      </c>
      <c r="F81" s="21">
        <f t="shared" si="141"/>
        <v>1.2429341893367054E-3</v>
      </c>
      <c r="G81" s="21">
        <f t="shared" si="141"/>
        <v>1.8109380659181455E-3</v>
      </c>
      <c r="H81" s="21">
        <f t="shared" si="141"/>
        <v>2.7494527788158667E-3</v>
      </c>
      <c r="I81" s="21">
        <f t="shared" si="141"/>
        <v>2.261308668633269E-3</v>
      </c>
      <c r="J81" s="21">
        <f t="shared" si="141"/>
        <v>1.2926822595890047E-3</v>
      </c>
      <c r="K81" s="21">
        <f t="shared" si="141"/>
        <v>1.7139538231165136E-3</v>
      </c>
      <c r="L81" s="21">
        <f t="shared" si="141"/>
        <v>2.157233849538837E-3</v>
      </c>
      <c r="M81" s="21">
        <f t="shared" si="141"/>
        <v>2.5706257073131893E-3</v>
      </c>
      <c r="N81" s="21">
        <f t="shared" si="141"/>
        <v>2.9676354456281565E-3</v>
      </c>
      <c r="O81" s="21">
        <f t="shared" si="141"/>
        <v>3.3149296580428636E-3</v>
      </c>
      <c r="P81" s="21">
        <f t="shared" si="141"/>
        <v>3.7161006042050462E-3</v>
      </c>
      <c r="Q81" s="21">
        <f t="shared" si="141"/>
        <v>4.2198482053502203E-3</v>
      </c>
      <c r="R81" s="21">
        <f t="shared" si="141"/>
        <v>4.8680481141810507E-3</v>
      </c>
      <c r="S81" s="21">
        <f t="shared" si="141"/>
        <v>5.6678270852268163E-3</v>
      </c>
    </row>
    <row r="82" spans="2:19" outlineLevel="2">
      <c r="C82" s="7"/>
      <c r="D82" s="7"/>
    </row>
    <row r="83" spans="2:19" outlineLevel="2">
      <c r="C83" s="3" t="s">
        <v>30</v>
      </c>
      <c r="D83" s="3"/>
      <c r="E83" s="19">
        <v>6</v>
      </c>
      <c r="F83" s="19">
        <v>7</v>
      </c>
      <c r="G83" s="19">
        <v>6.9</v>
      </c>
      <c r="H83" s="19">
        <v>7.3</v>
      </c>
      <c r="I83" s="19">
        <v>7.3</v>
      </c>
      <c r="J83" s="30">
        <f>Assumptions!J43</f>
        <v>6.9</v>
      </c>
      <c r="K83" s="30">
        <f>Assumptions!K43</f>
        <v>6.9</v>
      </c>
      <c r="L83" s="30">
        <f>Assumptions!L43</f>
        <v>6.9</v>
      </c>
      <c r="M83" s="30">
        <f>Assumptions!M43</f>
        <v>6.9</v>
      </c>
      <c r="N83" s="30">
        <f>Assumptions!N43</f>
        <v>6.9</v>
      </c>
      <c r="O83" s="30">
        <f>Assumptions!O43</f>
        <v>6.9</v>
      </c>
      <c r="P83" s="30">
        <f>Assumptions!P43</f>
        <v>6.9</v>
      </c>
      <c r="Q83" s="30">
        <f>Assumptions!Q43</f>
        <v>6.9</v>
      </c>
      <c r="R83" s="30">
        <f>Assumptions!R43</f>
        <v>6.9</v>
      </c>
      <c r="S83" s="30">
        <f>Assumptions!S43</f>
        <v>6.9</v>
      </c>
    </row>
    <row r="84" spans="2:19" outlineLevel="2">
      <c r="C84" s="7" t="s">
        <v>5</v>
      </c>
      <c r="D84" s="7"/>
      <c r="E84" s="21">
        <f t="shared" ref="E84:S84" si="142">E83/E24</f>
        <v>7.6165329541992479E-4</v>
      </c>
      <c r="F84" s="21">
        <f t="shared" si="142"/>
        <v>7.5656863698755981E-4</v>
      </c>
      <c r="G84" s="21">
        <f t="shared" si="142"/>
        <v>6.5765645551764233E-4</v>
      </c>
      <c r="H84" s="21">
        <f t="shared" si="142"/>
        <v>6.4954709661345714E-4</v>
      </c>
      <c r="I84" s="21">
        <f t="shared" si="142"/>
        <v>6.2058470981288954E-4</v>
      </c>
      <c r="J84" s="21">
        <f t="shared" si="142"/>
        <v>6.0979879171151009E-4</v>
      </c>
      <c r="K84" s="21">
        <f t="shared" si="142"/>
        <v>5.7927313219643755E-4</v>
      </c>
      <c r="L84" s="21">
        <f t="shared" si="142"/>
        <v>5.4303501090465303E-4</v>
      </c>
      <c r="M84" s="21">
        <f t="shared" si="142"/>
        <v>5.1182171704423657E-4</v>
      </c>
      <c r="N84" s="21">
        <f t="shared" si="142"/>
        <v>4.850821690755163E-4</v>
      </c>
      <c r="O84" s="21">
        <f t="shared" si="142"/>
        <v>4.6210741766347565E-4</v>
      </c>
      <c r="P84" s="21">
        <f t="shared" si="142"/>
        <v>4.425013172286994E-4</v>
      </c>
      <c r="Q84" s="21">
        <f t="shared" si="142"/>
        <v>4.2593472555000684E-4</v>
      </c>
      <c r="R84" s="21">
        <f t="shared" si="142"/>
        <v>4.1213652914860261E-4</v>
      </c>
      <c r="S84" s="21">
        <f t="shared" si="142"/>
        <v>4.008864176987973E-4</v>
      </c>
    </row>
    <row r="85" spans="2:19" outlineLevel="2">
      <c r="C85" s="7"/>
      <c r="D85" s="7"/>
    </row>
    <row r="86" spans="2:19" outlineLevel="2">
      <c r="C86" s="3" t="s">
        <v>31</v>
      </c>
      <c r="D86" s="3"/>
      <c r="E86" s="19">
        <v>24.7</v>
      </c>
      <c r="F86" s="19">
        <v>17.8</v>
      </c>
      <c r="G86" s="19">
        <v>48.4</v>
      </c>
      <c r="H86" s="19">
        <v>86.3</v>
      </c>
      <c r="I86" s="19">
        <v>2.5</v>
      </c>
      <c r="J86" s="30">
        <f>Assumptions!J44</f>
        <v>23.35</v>
      </c>
      <c r="K86" s="30">
        <f>Assumptions!K44</f>
        <v>23.35</v>
      </c>
      <c r="L86" s="30">
        <f>Assumptions!L44</f>
        <v>23.35</v>
      </c>
      <c r="M86" s="30">
        <f>Assumptions!M44</f>
        <v>23.35</v>
      </c>
      <c r="N86" s="30">
        <f>Assumptions!N44</f>
        <v>23.35</v>
      </c>
      <c r="O86" s="30">
        <f>Assumptions!O44</f>
        <v>23.35</v>
      </c>
      <c r="P86" s="30">
        <f>Assumptions!P44</f>
        <v>23.35</v>
      </c>
      <c r="Q86" s="30">
        <f>Assumptions!Q44</f>
        <v>23.35</v>
      </c>
      <c r="R86" s="30">
        <f>Assumptions!R44</f>
        <v>23.35</v>
      </c>
      <c r="S86" s="30">
        <f>Assumptions!S44</f>
        <v>23.35</v>
      </c>
    </row>
    <row r="87" spans="2:19" outlineLevel="2">
      <c r="C87" s="7" t="s">
        <v>5</v>
      </c>
      <c r="D87" s="7"/>
      <c r="E87" s="21">
        <f t="shared" ref="E87:S87" si="143">E86/E24</f>
        <v>3.1354727328120236E-3</v>
      </c>
      <c r="F87" s="21">
        <f t="shared" si="143"/>
        <v>1.9238459626255092E-3</v>
      </c>
      <c r="G87" s="21">
        <f t="shared" si="143"/>
        <v>4.6131264416020123E-3</v>
      </c>
      <c r="H87" s="21">
        <f t="shared" si="143"/>
        <v>7.6788923887316923E-3</v>
      </c>
      <c r="I87" s="21">
        <f t="shared" si="143"/>
        <v>2.1252901020989368E-4</v>
      </c>
      <c r="J87" s="21">
        <f t="shared" si="143"/>
        <v>2.0635944618063421E-3</v>
      </c>
      <c r="K87" s="21">
        <f t="shared" si="143"/>
        <v>1.9602938604038867E-3</v>
      </c>
      <c r="L87" s="21">
        <f t="shared" si="143"/>
        <v>1.8376619571918332E-3</v>
      </c>
      <c r="M87" s="21">
        <f t="shared" si="143"/>
        <v>1.7320343613018731E-3</v>
      </c>
      <c r="N87" s="21">
        <f t="shared" si="143"/>
        <v>1.6415461808570008E-3</v>
      </c>
      <c r="O87" s="21">
        <f t="shared" si="143"/>
        <v>1.5637982902090082E-3</v>
      </c>
      <c r="P87" s="21">
        <f t="shared" si="143"/>
        <v>1.497450109752193E-3</v>
      </c>
      <c r="Q87" s="21">
        <f t="shared" si="143"/>
        <v>1.4413878031293709E-3</v>
      </c>
      <c r="R87" s="21">
        <f t="shared" si="143"/>
        <v>1.3946939066115755E-3</v>
      </c>
      <c r="S87" s="21">
        <f t="shared" si="143"/>
        <v>1.3566228772850604E-3</v>
      </c>
    </row>
    <row r="88" spans="2:19" outlineLevel="2">
      <c r="C88" s="7"/>
      <c r="D88" s="7"/>
    </row>
    <row r="89" spans="2:19" outlineLevel="2">
      <c r="C89" s="3" t="s">
        <v>32</v>
      </c>
      <c r="D89" s="3"/>
      <c r="E89" s="19">
        <v>0.5</v>
      </c>
      <c r="F89" s="19">
        <v>0.4</v>
      </c>
      <c r="G89" s="19">
        <v>0.4</v>
      </c>
      <c r="H89" s="19">
        <v>1.1000000000000001</v>
      </c>
      <c r="I89" s="19">
        <v>3.6</v>
      </c>
      <c r="J89" s="30">
        <f>Assumptions!J46</f>
        <v>3.6</v>
      </c>
      <c r="K89" s="30">
        <f>Assumptions!K46</f>
        <v>3.6</v>
      </c>
      <c r="L89" s="30">
        <f>Assumptions!L46</f>
        <v>3.6</v>
      </c>
      <c r="M89" s="30">
        <f>Assumptions!M46</f>
        <v>3.6</v>
      </c>
      <c r="N89" s="30">
        <f>Assumptions!N46</f>
        <v>3.6</v>
      </c>
      <c r="O89" s="30">
        <f>Assumptions!O46</f>
        <v>3.6</v>
      </c>
      <c r="P89" s="30">
        <f>Assumptions!P46</f>
        <v>3.6</v>
      </c>
      <c r="Q89" s="30">
        <f>Assumptions!Q46</f>
        <v>3.6</v>
      </c>
      <c r="R89" s="30">
        <f>Assumptions!R46</f>
        <v>3.6</v>
      </c>
      <c r="S89" s="30">
        <f>Assumptions!S46</f>
        <v>3.6</v>
      </c>
    </row>
    <row r="90" spans="2:19" outlineLevel="2">
      <c r="C90" s="7" t="s">
        <v>5</v>
      </c>
      <c r="D90" s="7"/>
      <c r="E90" s="21">
        <f t="shared" ref="E90:S90" si="144">E89/E24</f>
        <v>6.3471107951660404E-5</v>
      </c>
      <c r="F90" s="21">
        <f t="shared" si="144"/>
        <v>4.3232493542146274E-5</v>
      </c>
      <c r="G90" s="21">
        <f t="shared" si="144"/>
        <v>3.8125011914066222E-5</v>
      </c>
      <c r="H90" s="21">
        <f t="shared" si="144"/>
        <v>9.7876959763671637E-5</v>
      </c>
      <c r="I90" s="21">
        <f t="shared" si="144"/>
        <v>3.0604177470224691E-4</v>
      </c>
      <c r="J90" s="21">
        <f t="shared" si="144"/>
        <v>3.1815589132774434E-4</v>
      </c>
      <c r="K90" s="21">
        <f t="shared" si="144"/>
        <v>3.0222946027640222E-4</v>
      </c>
      <c r="L90" s="21">
        <f t="shared" si="144"/>
        <v>2.8332261438503636E-4</v>
      </c>
      <c r="M90" s="21">
        <f t="shared" si="144"/>
        <v>2.6703741758829735E-4</v>
      </c>
      <c r="N90" s="21">
        <f t="shared" si="144"/>
        <v>2.5308634908287802E-4</v>
      </c>
      <c r="O90" s="21">
        <f t="shared" si="144"/>
        <v>2.4109952225920468E-4</v>
      </c>
      <c r="P90" s="21">
        <f t="shared" si="144"/>
        <v>2.3087025246714752E-4</v>
      </c>
      <c r="Q90" s="21">
        <f t="shared" si="144"/>
        <v>2.2222681333043833E-4</v>
      </c>
      <c r="R90" s="21">
        <f t="shared" si="144"/>
        <v>2.1502775433840135E-4</v>
      </c>
      <c r="S90" s="21">
        <f t="shared" si="144"/>
        <v>2.0915813097328553E-4</v>
      </c>
    </row>
    <row r="91" spans="2:19" outlineLevel="2">
      <c r="C91" s="7"/>
      <c r="D91" s="7"/>
    </row>
    <row r="92" spans="2:19" outlineLevel="2">
      <c r="B92" t="s">
        <v>0</v>
      </c>
      <c r="C92" s="35" t="s">
        <v>33</v>
      </c>
      <c r="D92" s="69"/>
      <c r="E92" s="23">
        <f>E72-E77+E80+E83-E86+E89</f>
        <v>1060.5000000000007</v>
      </c>
      <c r="F92" s="23">
        <f t="shared" ref="F92:M92" si="145">F72-F77+F80+F83-F86+F89</f>
        <v>1315.600000000001</v>
      </c>
      <c r="G92" s="23">
        <f t="shared" si="145"/>
        <v>1498.2000000000012</v>
      </c>
      <c r="H92" s="23">
        <f>H72-H77+H80+H83-H86+H89</f>
        <v>1336.4000000000003</v>
      </c>
      <c r="I92" s="23">
        <f t="shared" si="145"/>
        <v>1562.999999999998</v>
      </c>
      <c r="J92" s="23">
        <f>J72-J77+J80+J83-J86+J89</f>
        <v>1429.0696412548873</v>
      </c>
      <c r="K92" s="23">
        <f t="shared" si="145"/>
        <v>1640.2368720140562</v>
      </c>
      <c r="L92" s="23">
        <f t="shared" si="145"/>
        <v>1857.5698964101521</v>
      </c>
      <c r="M92" s="23">
        <f t="shared" si="145"/>
        <v>2062.1015440062065</v>
      </c>
      <c r="N92" s="23">
        <f t="shared" ref="N92:S92" si="146">N72-N77+N80+N83-N86+N89</f>
        <v>2261.6996168725041</v>
      </c>
      <c r="O92" s="23">
        <f t="shared" si="146"/>
        <v>2374.3405072724636</v>
      </c>
      <c r="P92" s="23">
        <f t="shared" si="146"/>
        <v>2500.5762627194827</v>
      </c>
      <c r="Q92" s="23">
        <f t="shared" si="146"/>
        <v>2618.7719640257883</v>
      </c>
      <c r="R92" s="23">
        <f t="shared" si="146"/>
        <v>2769.9924563243644</v>
      </c>
      <c r="S92" s="24">
        <f t="shared" si="146"/>
        <v>3148.3814878586099</v>
      </c>
    </row>
    <row r="93" spans="2:19" outlineLevel="2">
      <c r="C93" s="27" t="s">
        <v>5</v>
      </c>
      <c r="D93" s="68"/>
      <c r="E93" s="25">
        <f t="shared" ref="E93:S93" si="147">E92/E24</f>
        <v>0.1346222199654718</v>
      </c>
      <c r="F93" s="25">
        <f t="shared" si="147"/>
        <v>0.1421916712601192</v>
      </c>
      <c r="G93" s="25">
        <f t="shared" si="147"/>
        <v>0.14279723212413514</v>
      </c>
      <c r="H93" s="25">
        <f t="shared" si="147"/>
        <v>0.11891160820742799</v>
      </c>
      <c r="I93" s="25">
        <f t="shared" si="147"/>
        <v>0.13287313718322535</v>
      </c>
      <c r="J93" s="25">
        <f t="shared" si="147"/>
        <v>0.1262963681896857</v>
      </c>
      <c r="K93" s="25">
        <f t="shared" si="147"/>
        <v>0.13770219570951733</v>
      </c>
      <c r="L93" s="25">
        <f t="shared" si="147"/>
        <v>0.14619209984829595</v>
      </c>
      <c r="M93" s="25">
        <f t="shared" si="147"/>
        <v>0.15296063086562722</v>
      </c>
      <c r="N93" s="25">
        <f t="shared" si="147"/>
        <v>0.15900147187677946</v>
      </c>
      <c r="O93" s="25">
        <f t="shared" si="147"/>
        <v>0.15901454499557463</v>
      </c>
      <c r="P93" s="25">
        <f t="shared" si="147"/>
        <v>0.16036352030205642</v>
      </c>
      <c r="Q93" s="25">
        <f t="shared" si="147"/>
        <v>0.16165593011237339</v>
      </c>
      <c r="R93" s="25">
        <f t="shared" si="147"/>
        <v>0.16545146039381675</v>
      </c>
      <c r="S93" s="26">
        <f t="shared" si="147"/>
        <v>0.18291932988649964</v>
      </c>
    </row>
    <row r="94" spans="2:19" outlineLevel="2"/>
    <row r="95" spans="2:19" outlineLevel="2">
      <c r="C95" s="3" t="s">
        <v>34</v>
      </c>
      <c r="D95" s="3"/>
      <c r="E95" s="19">
        <v>235.3</v>
      </c>
      <c r="F95" s="19">
        <v>287.10000000000002</v>
      </c>
      <c r="G95" s="19">
        <v>335.7</v>
      </c>
      <c r="H95" s="19">
        <v>273.8</v>
      </c>
      <c r="I95" s="19">
        <v>315.39999999999998</v>
      </c>
      <c r="J95" s="30">
        <f>J92*Assumptions!J159</f>
        <v>288.37400182456304</v>
      </c>
      <c r="K95" s="30">
        <f>K92*Assumptions!K159</f>
        <v>330.98573860091744</v>
      </c>
      <c r="L95" s="30">
        <f>L92*Assumptions!L159</f>
        <v>374.84167967227302</v>
      </c>
      <c r="M95" s="30">
        <f>M92*Assumptions!M159</f>
        <v>416.11441265486781</v>
      </c>
      <c r="N95" s="30">
        <f>N92*Assumptions!N159</f>
        <v>456.39159255379957</v>
      </c>
      <c r="O95" s="30">
        <f>O92*Assumptions!O159</f>
        <v>479.12155853725909</v>
      </c>
      <c r="P95" s="30">
        <f>P92*Assumptions!P159</f>
        <v>504.59485173494937</v>
      </c>
      <c r="Q95" s="30">
        <f>Q92*Assumptions!Q159</f>
        <v>528.44573093649058</v>
      </c>
      <c r="R95" s="30">
        <f>R92*Assumptions!R159</f>
        <v>558.9607298302659</v>
      </c>
      <c r="S95" s="30">
        <f>S92*Assumptions!S159</f>
        <v>635.31639236763078</v>
      </c>
    </row>
    <row r="96" spans="2:19" outlineLevel="2">
      <c r="C96" s="7" t="s">
        <v>35</v>
      </c>
      <c r="D96" s="7"/>
      <c r="E96" s="21">
        <f>E95/E92</f>
        <v>0.22187647336162175</v>
      </c>
      <c r="F96" s="21">
        <f t="shared" ref="F96:I96" si="148">F95/F92</f>
        <v>0.21822742474916373</v>
      </c>
      <c r="G96" s="21">
        <f t="shared" si="148"/>
        <v>0.22406888265919084</v>
      </c>
      <c r="H96" s="21">
        <f t="shared" si="148"/>
        <v>0.20487877880873986</v>
      </c>
      <c r="I96" s="21">
        <f t="shared" si="148"/>
        <v>0.20179142674344236</v>
      </c>
      <c r="J96" s="21">
        <f>J95/J92</f>
        <v>0.20179142674344236</v>
      </c>
      <c r="K96" s="21">
        <f t="shared" ref="K96:S96" si="149">K95/K92</f>
        <v>0.20179142674344236</v>
      </c>
      <c r="L96" s="21">
        <f t="shared" si="149"/>
        <v>0.20179142674344236</v>
      </c>
      <c r="M96" s="21">
        <f t="shared" si="149"/>
        <v>0.20179142674344236</v>
      </c>
      <c r="N96" s="21">
        <f t="shared" si="149"/>
        <v>0.20179142674344236</v>
      </c>
      <c r="O96" s="21">
        <f t="shared" si="149"/>
        <v>0.20179142674344236</v>
      </c>
      <c r="P96" s="21">
        <f t="shared" si="149"/>
        <v>0.20179142674344236</v>
      </c>
      <c r="Q96" s="21">
        <f t="shared" si="149"/>
        <v>0.20179142674344239</v>
      </c>
      <c r="R96" s="21">
        <f t="shared" si="149"/>
        <v>0.20179142674344236</v>
      </c>
      <c r="S96" s="21">
        <f t="shared" si="149"/>
        <v>0.20179142674344236</v>
      </c>
    </row>
    <row r="97" spans="1:19" outlineLevel="2">
      <c r="C97" s="7"/>
      <c r="D97" s="7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outlineLevel="2">
      <c r="B98" t="s">
        <v>0</v>
      </c>
      <c r="C98" s="22" t="s">
        <v>36</v>
      </c>
      <c r="D98" s="67"/>
      <c r="E98" s="23">
        <f t="shared" ref="E98:S98" si="150">E92-E95</f>
        <v>825.20000000000073</v>
      </c>
      <c r="F98" s="23">
        <f t="shared" si="150"/>
        <v>1028.5000000000009</v>
      </c>
      <c r="G98" s="23">
        <f t="shared" si="150"/>
        <v>1162.5000000000011</v>
      </c>
      <c r="H98" s="23">
        <f t="shared" si="150"/>
        <v>1062.6000000000004</v>
      </c>
      <c r="I98" s="23">
        <f t="shared" si="150"/>
        <v>1247.5999999999981</v>
      </c>
      <c r="J98" s="23">
        <f t="shared" si="150"/>
        <v>1140.6956394303243</v>
      </c>
      <c r="K98" s="23">
        <f t="shared" si="150"/>
        <v>1309.2511334131386</v>
      </c>
      <c r="L98" s="23">
        <f t="shared" si="150"/>
        <v>1482.7282167378789</v>
      </c>
      <c r="M98" s="23">
        <f t="shared" si="150"/>
        <v>1645.9871313513386</v>
      </c>
      <c r="N98" s="23">
        <f t="shared" si="150"/>
        <v>1805.3080243187046</v>
      </c>
      <c r="O98" s="23">
        <f t="shared" si="150"/>
        <v>1895.2189487352045</v>
      </c>
      <c r="P98" s="23">
        <f t="shared" si="150"/>
        <v>1995.9814109845333</v>
      </c>
      <c r="Q98" s="23">
        <f t="shared" si="150"/>
        <v>2090.3262330892976</v>
      </c>
      <c r="R98" s="23">
        <f t="shared" si="150"/>
        <v>2211.0317264940986</v>
      </c>
      <c r="S98" s="24">
        <f t="shared" si="150"/>
        <v>2513.0650954909793</v>
      </c>
    </row>
    <row r="99" spans="1:19" outlineLevel="2">
      <c r="C99" s="27" t="s">
        <v>5</v>
      </c>
      <c r="D99" s="68"/>
      <c r="E99" s="25">
        <f t="shared" ref="E99:S99" si="151">E98/E24</f>
        <v>0.10475271656342042</v>
      </c>
      <c r="F99" s="25">
        <f t="shared" si="151"/>
        <v>0.11116154902024369</v>
      </c>
      <c r="G99" s="25">
        <f t="shared" si="151"/>
        <v>0.11080081587525506</v>
      </c>
      <c r="H99" s="25">
        <f t="shared" si="151"/>
        <v>9.4549143131706828E-2</v>
      </c>
      <c r="I99" s="25">
        <f t="shared" si="151"/>
        <v>0.10606047725514518</v>
      </c>
      <c r="J99" s="25">
        <f t="shared" si="151"/>
        <v>0.10081084386017392</v>
      </c>
      <c r="K99" s="25">
        <f t="shared" si="151"/>
        <v>0.10991507317158909</v>
      </c>
      <c r="L99" s="25">
        <f t="shared" si="151"/>
        <v>0.11669178744128852</v>
      </c>
      <c r="M99" s="25">
        <f t="shared" si="151"/>
        <v>0.12209448692767529</v>
      </c>
      <c r="N99" s="25">
        <f t="shared" si="151"/>
        <v>0.12691633801245683</v>
      </c>
      <c r="O99" s="25">
        <f t="shared" si="151"/>
        <v>0.1269267730879583</v>
      </c>
      <c r="P99" s="25">
        <f t="shared" si="151"/>
        <v>0.12800353674270348</v>
      </c>
      <c r="Q99" s="25">
        <f t="shared" si="151"/>
        <v>0.12903514933345936</v>
      </c>
      <c r="R99" s="25">
        <f t="shared" si="151"/>
        <v>0.13206477414416234</v>
      </c>
      <c r="S99" s="26">
        <f t="shared" si="151"/>
        <v>0.14600777732974848</v>
      </c>
    </row>
    <row r="100" spans="1:19" outlineLevel="2">
      <c r="C100" s="56"/>
      <c r="D100" s="56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</row>
    <row r="101" spans="1:19" outlineLevel="2">
      <c r="B101" t="s">
        <v>0</v>
      </c>
      <c r="C101" s="58" t="s">
        <v>37</v>
      </c>
      <c r="D101" s="56"/>
      <c r="E101" s="79">
        <v>0.6</v>
      </c>
      <c r="F101" s="79">
        <v>0.6</v>
      </c>
      <c r="G101" s="79">
        <v>0</v>
      </c>
      <c r="H101" s="79">
        <v>0.6</v>
      </c>
      <c r="I101" s="79">
        <v>2.1</v>
      </c>
      <c r="J101" s="70">
        <f t="shared" ref="J101:S101" si="152">J102*J24</f>
        <v>2.0933134295285711</v>
      </c>
      <c r="K101" s="70">
        <f t="shared" si="152"/>
        <v>2.263181092188868</v>
      </c>
      <c r="L101" s="70">
        <f t="shared" si="152"/>
        <v>2.4777407956781725</v>
      </c>
      <c r="M101" s="70">
        <f t="shared" si="152"/>
        <v>2.6962513587142833</v>
      </c>
      <c r="N101" s="70">
        <f t="shared" si="152"/>
        <v>2.9160008142451326</v>
      </c>
      <c r="O101" s="70">
        <f t="shared" si="152"/>
        <v>3.1356345832457895</v>
      </c>
      <c r="P101" s="70">
        <f t="shared" si="152"/>
        <v>3.3525323931030884</v>
      </c>
      <c r="Q101" s="70">
        <f t="shared" si="152"/>
        <v>3.56392636932764</v>
      </c>
      <c r="R101" s="70">
        <f t="shared" si="152"/>
        <v>3.766955584371948</v>
      </c>
      <c r="S101" s="70">
        <f t="shared" si="152"/>
        <v>3.9587272851742767</v>
      </c>
    </row>
    <row r="102" spans="1:19" outlineLevel="2">
      <c r="C102" s="56" t="s">
        <v>5</v>
      </c>
      <c r="D102" s="56"/>
      <c r="E102" s="57">
        <f>E101/E24</f>
        <v>7.6165329541992476E-5</v>
      </c>
      <c r="F102" s="57">
        <f>F101/F24</f>
        <v>6.4848740313219405E-5</v>
      </c>
      <c r="G102" s="57">
        <f>G101/G24</f>
        <v>0</v>
      </c>
      <c r="H102" s="57">
        <f>H101/H24</f>
        <v>5.3387432598366338E-5</v>
      </c>
      <c r="I102" s="57">
        <f>I101/I24</f>
        <v>1.7852436857631069E-4</v>
      </c>
      <c r="J102" s="57">
        <f>Assumptions!J57</f>
        <v>1.85E-4</v>
      </c>
      <c r="K102" s="57">
        <f>Assumptions!K57</f>
        <v>1.9000000000000001E-4</v>
      </c>
      <c r="L102" s="57">
        <f>Assumptions!L57</f>
        <v>1.9500000000000002E-4</v>
      </c>
      <c r="M102" s="57">
        <f>Assumptions!M57</f>
        <v>2.0000000000000004E-4</v>
      </c>
      <c r="N102" s="57">
        <f>Assumptions!N57</f>
        <v>2.0500000000000005E-4</v>
      </c>
      <c r="O102" s="57">
        <f>Assumptions!O57</f>
        <v>2.1000000000000006E-4</v>
      </c>
      <c r="P102" s="57">
        <f>Assumptions!P57</f>
        <v>2.1500000000000008E-4</v>
      </c>
      <c r="Q102" s="57">
        <f>Assumptions!Q57</f>
        <v>2.2000000000000009E-4</v>
      </c>
      <c r="R102" s="57">
        <f>Assumptions!R57</f>
        <v>2.250000000000001E-4</v>
      </c>
      <c r="S102" s="57">
        <f>Assumptions!S57</f>
        <v>2.3000000000000012E-4</v>
      </c>
    </row>
    <row r="103" spans="1:19" outlineLevel="2"/>
    <row r="104" spans="1:19" outlineLevel="2">
      <c r="B104" t="s">
        <v>0</v>
      </c>
      <c r="C104" s="80" t="s">
        <v>38</v>
      </c>
      <c r="D104" s="51"/>
      <c r="E104" s="52">
        <f>E98-E101</f>
        <v>824.6000000000007</v>
      </c>
      <c r="F104" s="52">
        <f t="shared" ref="F104:I104" si="153">F98-F101</f>
        <v>1027.900000000001</v>
      </c>
      <c r="G104" s="52">
        <f t="shared" si="153"/>
        <v>1162.5000000000011</v>
      </c>
      <c r="H104" s="52">
        <f t="shared" si="153"/>
        <v>1062.0000000000005</v>
      </c>
      <c r="I104" s="52">
        <f t="shared" si="153"/>
        <v>1245.4999999999982</v>
      </c>
      <c r="J104" s="52">
        <f>J98-J101</f>
        <v>1138.6023260007958</v>
      </c>
      <c r="K104" s="52">
        <f t="shared" ref="K104:S104" si="154">K98-K101</f>
        <v>1306.9879523209497</v>
      </c>
      <c r="L104" s="52">
        <f t="shared" si="154"/>
        <v>1480.2504759422009</v>
      </c>
      <c r="M104" s="52">
        <f t="shared" si="154"/>
        <v>1643.2908799926242</v>
      </c>
      <c r="N104" s="52">
        <f t="shared" si="154"/>
        <v>1802.3920235044595</v>
      </c>
      <c r="O104" s="52">
        <f t="shared" si="154"/>
        <v>1892.0833141519588</v>
      </c>
      <c r="P104" s="52">
        <f t="shared" si="154"/>
        <v>1992.6288785914303</v>
      </c>
      <c r="Q104" s="52">
        <f t="shared" si="154"/>
        <v>2086.7623067199702</v>
      </c>
      <c r="R104" s="52">
        <f t="shared" si="154"/>
        <v>2207.2647709097268</v>
      </c>
      <c r="S104" s="133">
        <f t="shared" si="154"/>
        <v>2509.1063682058052</v>
      </c>
    </row>
    <row r="105" spans="1:19" outlineLevel="2">
      <c r="C105" s="27" t="s">
        <v>5</v>
      </c>
      <c r="D105" s="54"/>
      <c r="E105" s="25">
        <f t="shared" ref="E105:S105" si="155">E104/E24</f>
        <v>0.10467655123387842</v>
      </c>
      <c r="F105" s="25">
        <f t="shared" si="155"/>
        <v>0.11109670027993049</v>
      </c>
      <c r="G105" s="25">
        <f t="shared" si="155"/>
        <v>0.11080081587525506</v>
      </c>
      <c r="H105" s="25">
        <f t="shared" si="155"/>
        <v>9.4495755699108466E-2</v>
      </c>
      <c r="I105" s="25">
        <f t="shared" si="155"/>
        <v>0.10588195288656888</v>
      </c>
      <c r="J105" s="25">
        <f t="shared" si="155"/>
        <v>0.10062584386017392</v>
      </c>
      <c r="K105" s="25">
        <f t="shared" si="155"/>
        <v>0.1097250731715891</v>
      </c>
      <c r="L105" s="25">
        <f t="shared" si="155"/>
        <v>0.11649678744128852</v>
      </c>
      <c r="M105" s="25">
        <f t="shared" si="155"/>
        <v>0.12189448692767528</v>
      </c>
      <c r="N105" s="25">
        <f t="shared" si="155"/>
        <v>0.12671133801245682</v>
      </c>
      <c r="O105" s="25">
        <f t="shared" si="155"/>
        <v>0.12671677308795831</v>
      </c>
      <c r="P105" s="25">
        <f t="shared" si="155"/>
        <v>0.12778853674270349</v>
      </c>
      <c r="Q105" s="25">
        <f t="shared" si="155"/>
        <v>0.12881514933345936</v>
      </c>
      <c r="R105" s="25">
        <f t="shared" si="155"/>
        <v>0.13183977414416234</v>
      </c>
      <c r="S105" s="26">
        <f t="shared" si="155"/>
        <v>0.1457777773297485</v>
      </c>
    </row>
    <row r="106" spans="1:19" outlineLevel="2">
      <c r="C106" s="56"/>
      <c r="D106" s="56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</row>
    <row r="107" spans="1:19" outlineLevel="2">
      <c r="C107" t="s">
        <v>39</v>
      </c>
      <c r="E107" s="145">
        <v>365</v>
      </c>
      <c r="F107" s="145">
        <f>E107</f>
        <v>365</v>
      </c>
      <c r="G107" s="145">
        <f t="shared" ref="G107:M107" si="156">F107</f>
        <v>365</v>
      </c>
      <c r="H107" s="145">
        <f t="shared" si="156"/>
        <v>365</v>
      </c>
      <c r="I107" s="145">
        <f t="shared" si="156"/>
        <v>365</v>
      </c>
      <c r="J107" s="145">
        <f t="shared" si="156"/>
        <v>365</v>
      </c>
      <c r="K107" s="145">
        <f t="shared" si="156"/>
        <v>365</v>
      </c>
      <c r="L107" s="145">
        <f t="shared" si="156"/>
        <v>365</v>
      </c>
      <c r="M107" s="145">
        <f t="shared" si="156"/>
        <v>365</v>
      </c>
      <c r="N107" s="145">
        <f t="shared" ref="N107" si="157">M107</f>
        <v>365</v>
      </c>
      <c r="O107" s="145">
        <f t="shared" ref="O107" si="158">N107</f>
        <v>365</v>
      </c>
      <c r="P107" s="145">
        <f t="shared" ref="P107" si="159">O107</f>
        <v>365</v>
      </c>
      <c r="Q107" s="145">
        <f t="shared" ref="Q107" si="160">P107</f>
        <v>365</v>
      </c>
      <c r="R107" s="145">
        <f t="shared" ref="R107" si="161">Q107</f>
        <v>365</v>
      </c>
      <c r="S107" s="145">
        <f t="shared" ref="S107" si="162">R107</f>
        <v>365</v>
      </c>
    </row>
    <row r="109" spans="1:19">
      <c r="A109" t="s">
        <v>40</v>
      </c>
      <c r="C109" s="203" t="s">
        <v>41</v>
      </c>
      <c r="D109" s="203"/>
      <c r="E109" s="204">
        <v>2020</v>
      </c>
      <c r="F109" s="204">
        <f>E109+1</f>
        <v>2021</v>
      </c>
      <c r="G109" s="204">
        <f t="shared" ref="G109" si="163">F109+1</f>
        <v>2022</v>
      </c>
      <c r="H109" s="204">
        <f t="shared" ref="H109" si="164">G109+1</f>
        <v>2023</v>
      </c>
      <c r="I109" s="204">
        <f t="shared" ref="I109" si="165">H109+1</f>
        <v>2024</v>
      </c>
      <c r="J109" s="205">
        <f t="shared" ref="J109" si="166">I109+1</f>
        <v>2025</v>
      </c>
      <c r="K109" s="205">
        <f t="shared" ref="K109" si="167">J109+1</f>
        <v>2026</v>
      </c>
      <c r="L109" s="205">
        <f t="shared" ref="L109" si="168">K109+1</f>
        <v>2027</v>
      </c>
      <c r="M109" s="205">
        <f t="shared" ref="M109" si="169">L109+1</f>
        <v>2028</v>
      </c>
      <c r="N109" s="205">
        <f t="shared" ref="N109" si="170">M109+1</f>
        <v>2029</v>
      </c>
      <c r="O109" s="205">
        <f t="shared" ref="O109" si="171">N109+1</f>
        <v>2030</v>
      </c>
      <c r="P109" s="205">
        <f t="shared" ref="P109" si="172">O109+1</f>
        <v>2031</v>
      </c>
      <c r="Q109" s="205">
        <f t="shared" ref="Q109" si="173">P109+1</f>
        <v>2032</v>
      </c>
      <c r="R109" s="205">
        <f t="shared" ref="R109" si="174">Q109+1</f>
        <v>2033</v>
      </c>
      <c r="S109" s="205">
        <f t="shared" ref="S109" si="175">R109+1</f>
        <v>2034</v>
      </c>
    </row>
    <row r="110" spans="1:19" outlineLevel="1"/>
    <row r="111" spans="1:19" outlineLevel="2">
      <c r="C111" t="s">
        <v>42</v>
      </c>
      <c r="E111" s="30">
        <v>1318.7</v>
      </c>
      <c r="F111" s="30">
        <v>1175</v>
      </c>
      <c r="G111" s="30">
        <v>1873.3</v>
      </c>
      <c r="H111" s="30">
        <v>643.9</v>
      </c>
      <c r="I111" s="30">
        <v>707.5</v>
      </c>
      <c r="J111" s="30">
        <f t="shared" ref="J111:S111" si="176">I111+J191</f>
        <v>987.49964125922247</v>
      </c>
      <c r="K111" s="30">
        <f t="shared" si="176"/>
        <v>1325.8384530704029</v>
      </c>
      <c r="L111" s="30">
        <f t="shared" si="176"/>
        <v>1676.2598848662672</v>
      </c>
      <c r="M111" s="30">
        <f t="shared" si="176"/>
        <v>2041.8152998988699</v>
      </c>
      <c r="N111" s="30">
        <f t="shared" si="176"/>
        <v>2394.1568124190107</v>
      </c>
      <c r="O111" s="30">
        <f t="shared" si="176"/>
        <v>2802.8129154660483</v>
      </c>
      <c r="P111" s="30">
        <f t="shared" si="176"/>
        <v>3306.5492467427894</v>
      </c>
      <c r="Q111" s="30">
        <f t="shared" si="176"/>
        <v>3942.1665419267811</v>
      </c>
      <c r="R111" s="30">
        <f t="shared" si="176"/>
        <v>4718.635871617148</v>
      </c>
      <c r="S111" s="30">
        <f t="shared" si="176"/>
        <v>5430.6121015805402</v>
      </c>
    </row>
    <row r="112" spans="1:19" outlineLevel="2">
      <c r="C112" t="s">
        <v>43</v>
      </c>
      <c r="E112" s="30">
        <v>1361.8</v>
      </c>
      <c r="F112" s="30">
        <v>1576.8</v>
      </c>
      <c r="G112" s="30">
        <v>1719.6</v>
      </c>
      <c r="H112" s="30">
        <v>2009.2</v>
      </c>
      <c r="I112" s="30">
        <v>2175</v>
      </c>
      <c r="J112" s="30">
        <f>J311</f>
        <v>2139.0392689740306</v>
      </c>
      <c r="K112" s="30">
        <f t="shared" ref="K112:M112" si="177">K311</f>
        <v>2186.4907451572335</v>
      </c>
      <c r="L112" s="30">
        <f t="shared" si="177"/>
        <v>2259.8619536400356</v>
      </c>
      <c r="M112" s="30">
        <f t="shared" si="177"/>
        <v>2397.6789568932304</v>
      </c>
      <c r="N112" s="30">
        <f t="shared" ref="N112:S112" si="178">N311</f>
        <v>2529.8480110632195</v>
      </c>
      <c r="O112" s="30">
        <f t="shared" si="178"/>
        <v>2655.6253237458518</v>
      </c>
      <c r="P112" s="30">
        <f t="shared" si="178"/>
        <v>2773.289282670491</v>
      </c>
      <c r="Q112" s="30">
        <f t="shared" si="178"/>
        <v>2881.1554612112736</v>
      </c>
      <c r="R112" s="30">
        <f t="shared" si="178"/>
        <v>2977.6156051322641</v>
      </c>
      <c r="S112" s="30">
        <f t="shared" si="178"/>
        <v>3061.1766985828936</v>
      </c>
    </row>
    <row r="113" spans="2:22" outlineLevel="2">
      <c r="C113" t="s">
        <v>44</v>
      </c>
      <c r="E113" s="30">
        <v>814</v>
      </c>
      <c r="F113" s="30">
        <v>1158.3</v>
      </c>
      <c r="G113" s="30">
        <v>1212.8</v>
      </c>
      <c r="H113" s="30">
        <v>1240.7</v>
      </c>
      <c r="I113" s="30">
        <v>1348.9</v>
      </c>
      <c r="J113" s="30">
        <f>J314</f>
        <v>1395.0256102004548</v>
      </c>
      <c r="K113" s="30">
        <f t="shared" ref="K113:M113" si="179">K314</f>
        <v>1395.1116321712202</v>
      </c>
      <c r="L113" s="30">
        <f t="shared" si="179"/>
        <v>1384.5803327946699</v>
      </c>
      <c r="M113" s="30">
        <f t="shared" si="179"/>
        <v>1469.0185489970863</v>
      </c>
      <c r="N113" s="30">
        <f t="shared" ref="N113:S113" si="180">N314</f>
        <v>1549.9963594837307</v>
      </c>
      <c r="O113" s="30">
        <f t="shared" si="180"/>
        <v>1627.0580548548267</v>
      </c>
      <c r="P113" s="30">
        <f t="shared" si="180"/>
        <v>1699.1488315252345</v>
      </c>
      <c r="Q113" s="30">
        <f t="shared" si="180"/>
        <v>1765.2366689441194</v>
      </c>
      <c r="R113" s="30">
        <f t="shared" si="180"/>
        <v>1824.336216133903</v>
      </c>
      <c r="S113" s="30">
        <f t="shared" si="180"/>
        <v>1875.532726784566</v>
      </c>
    </row>
    <row r="114" spans="2:22" outlineLevel="2">
      <c r="C114" t="s">
        <v>45</v>
      </c>
      <c r="E114" s="30">
        <v>120.7</v>
      </c>
      <c r="F114" s="30">
        <v>190.4</v>
      </c>
      <c r="G114" s="30">
        <v>190.1</v>
      </c>
      <c r="H114" s="30">
        <v>243.8</v>
      </c>
      <c r="I114" s="30">
        <v>273.5</v>
      </c>
      <c r="J114" s="30">
        <f>J317</f>
        <v>248.80163210679893</v>
      </c>
      <c r="K114" s="30">
        <f t="shared" ref="K114:S114" si="181">K317</f>
        <v>261.91260426545756</v>
      </c>
      <c r="L114" s="30">
        <f t="shared" si="181"/>
        <v>279.39070518091637</v>
      </c>
      <c r="M114" s="30">
        <f t="shared" si="181"/>
        <v>296.42926351533578</v>
      </c>
      <c r="N114" s="30">
        <f t="shared" si="181"/>
        <v>312.76955597796558</v>
      </c>
      <c r="O114" s="30">
        <f t="shared" si="181"/>
        <v>328.31962620661761</v>
      </c>
      <c r="P114" s="30">
        <f t="shared" si="181"/>
        <v>342.86662825042902</v>
      </c>
      <c r="Q114" s="30">
        <f t="shared" si="181"/>
        <v>356.20231348515654</v>
      </c>
      <c r="R114" s="30">
        <f t="shared" si="181"/>
        <v>368.12785061300133</v>
      </c>
      <c r="S114" s="30">
        <f t="shared" si="181"/>
        <v>378.45865546028654</v>
      </c>
    </row>
    <row r="115" spans="2:22" outlineLevel="2">
      <c r="C115" t="s">
        <v>46</v>
      </c>
      <c r="E115" s="30">
        <v>19.399999999999999</v>
      </c>
      <c r="F115" s="30">
        <v>30.9</v>
      </c>
      <c r="G115" s="30">
        <v>25.5</v>
      </c>
      <c r="H115" s="30">
        <v>63.8</v>
      </c>
      <c r="I115" s="30">
        <v>58.4</v>
      </c>
      <c r="J115" s="30">
        <f>Assumptions!J90</f>
        <v>58.4</v>
      </c>
      <c r="K115" s="30">
        <f>Assumptions!K90</f>
        <v>58.4</v>
      </c>
      <c r="L115" s="30">
        <f>Assumptions!L90</f>
        <v>58.4</v>
      </c>
      <c r="M115" s="30">
        <f>Assumptions!M90</f>
        <v>58.4</v>
      </c>
      <c r="N115" s="30">
        <f>Assumptions!N90</f>
        <v>58.4</v>
      </c>
      <c r="O115" s="30">
        <f>Assumptions!O90</f>
        <v>58.4</v>
      </c>
      <c r="P115" s="30">
        <f>Assumptions!P90</f>
        <v>58.4</v>
      </c>
      <c r="Q115" s="30">
        <f>Assumptions!Q90</f>
        <v>58.4</v>
      </c>
      <c r="R115" s="30">
        <f>Assumptions!R90</f>
        <v>58.4</v>
      </c>
      <c r="S115" s="30">
        <f>Assumptions!S90</f>
        <v>58.4</v>
      </c>
    </row>
    <row r="116" spans="2:22" outlineLevel="2">
      <c r="C116" t="s">
        <v>47</v>
      </c>
      <c r="E116" s="30">
        <v>0</v>
      </c>
      <c r="F116" s="30">
        <v>33.700000000000003</v>
      </c>
      <c r="G116" s="30">
        <v>0</v>
      </c>
      <c r="H116" s="30">
        <v>0</v>
      </c>
      <c r="I116" s="30">
        <v>0</v>
      </c>
      <c r="J116" s="30">
        <f>Assumptions!J91</f>
        <v>0</v>
      </c>
      <c r="K116" s="30">
        <f>Assumptions!K91</f>
        <v>0</v>
      </c>
      <c r="L116" s="30">
        <f>Assumptions!L91</f>
        <v>0</v>
      </c>
      <c r="M116" s="30">
        <f>Assumptions!M91</f>
        <v>0</v>
      </c>
      <c r="N116" s="30">
        <f>Assumptions!N91</f>
        <v>0</v>
      </c>
      <c r="O116" s="30">
        <f>Assumptions!O91</f>
        <v>0</v>
      </c>
      <c r="P116" s="30">
        <f>Assumptions!P91</f>
        <v>0</v>
      </c>
      <c r="Q116" s="30">
        <f>Assumptions!Q91</f>
        <v>0</v>
      </c>
      <c r="R116" s="30">
        <f>Assumptions!R91</f>
        <v>0</v>
      </c>
      <c r="S116" s="30">
        <f>Assumptions!S91</f>
        <v>0</v>
      </c>
    </row>
    <row r="117" spans="2:22" outlineLevel="2">
      <c r="C117" s="49" t="s">
        <v>48</v>
      </c>
      <c r="D117" s="49"/>
      <c r="E117" s="52">
        <f>SUM(E111:E116)</f>
        <v>3634.6</v>
      </c>
      <c r="F117" s="52">
        <f>SUM(F111:F116)</f>
        <v>4165.0999999999995</v>
      </c>
      <c r="G117" s="52">
        <f t="shared" ref="G117:M117" si="182">SUM(G111:G116)</f>
        <v>5021.3</v>
      </c>
      <c r="H117" s="52">
        <f t="shared" si="182"/>
        <v>4201.4000000000005</v>
      </c>
      <c r="I117" s="52">
        <f t="shared" si="182"/>
        <v>4563.2999999999993</v>
      </c>
      <c r="J117" s="52">
        <f>SUM(J111:J116)</f>
        <v>4828.7661525405065</v>
      </c>
      <c r="K117" s="52">
        <f t="shared" si="182"/>
        <v>5227.7534346643142</v>
      </c>
      <c r="L117" s="52">
        <f t="shared" si="182"/>
        <v>5658.4928764818887</v>
      </c>
      <c r="M117" s="52">
        <f t="shared" si="182"/>
        <v>6263.3420693045227</v>
      </c>
      <c r="N117" s="52">
        <f t="shared" ref="N117:S117" si="183">SUM(N111:N116)</f>
        <v>6845.1707389439262</v>
      </c>
      <c r="O117" s="52">
        <f t="shared" si="183"/>
        <v>7472.2159202733446</v>
      </c>
      <c r="P117" s="52">
        <f t="shared" si="183"/>
        <v>8180.2539891889437</v>
      </c>
      <c r="Q117" s="52">
        <f t="shared" si="183"/>
        <v>9003.1609855673305</v>
      </c>
      <c r="R117" s="52">
        <f t="shared" si="183"/>
        <v>9947.1155434963166</v>
      </c>
      <c r="S117" s="52">
        <f t="shared" si="183"/>
        <v>10804.180182408287</v>
      </c>
    </row>
    <row r="118" spans="2:22" outlineLevel="2">
      <c r="E118" s="30"/>
      <c r="F118" s="30"/>
      <c r="G118" s="30"/>
      <c r="H118" s="30"/>
      <c r="I118" s="30"/>
    </row>
    <row r="119" spans="2:22" outlineLevel="2">
      <c r="C119" t="s">
        <v>49</v>
      </c>
      <c r="E119" s="30">
        <v>1702.6</v>
      </c>
      <c r="F119" s="30">
        <v>1776.6000000000001</v>
      </c>
      <c r="G119" s="30">
        <v>2257.3000000000002</v>
      </c>
      <c r="H119" s="30">
        <v>2257.3000000000002</v>
      </c>
      <c r="I119" s="30">
        <v>2458.5</v>
      </c>
      <c r="J119" s="30">
        <f>J200+J205</f>
        <v>2573.4652801594739</v>
      </c>
      <c r="K119" s="30">
        <f t="shared" ref="K119:S119" si="184">K200+K205</f>
        <v>2672.525990633419</v>
      </c>
      <c r="L119" s="30">
        <f t="shared" si="184"/>
        <v>2762.6443542748307</v>
      </c>
      <c r="M119" s="30">
        <f t="shared" si="184"/>
        <v>2875.715437666448</v>
      </c>
      <c r="N119" s="30">
        <f t="shared" si="184"/>
        <v>3014.175404565754</v>
      </c>
      <c r="O119" s="30">
        <f t="shared" si="184"/>
        <v>3130.6563805627934</v>
      </c>
      <c r="P119" s="30">
        <f t="shared" si="184"/>
        <v>3194.2045283038751</v>
      </c>
      <c r="Q119" s="30">
        <f t="shared" si="184"/>
        <v>3199.8743986694199</v>
      </c>
      <c r="R119" s="30">
        <f t="shared" si="184"/>
        <v>3185.3021502248184</v>
      </c>
      <c r="S119" s="30">
        <f t="shared" si="184"/>
        <v>3294.8596590279317</v>
      </c>
    </row>
    <row r="120" spans="2:22" outlineLevel="2">
      <c r="C120" t="s">
        <v>50</v>
      </c>
      <c r="E120" s="30">
        <v>4172.3</v>
      </c>
      <c r="F120" s="30">
        <v>4373</v>
      </c>
      <c r="G120" s="30">
        <v>4229.1000000000004</v>
      </c>
      <c r="H120" s="30">
        <v>8223.6</v>
      </c>
      <c r="I120" s="30">
        <v>8616.1</v>
      </c>
      <c r="J120" s="30">
        <f>J210+J215</f>
        <v>8679.6302854765345</v>
      </c>
      <c r="K120" s="30">
        <f t="shared" ref="K120:S120" si="185">K210+K215</f>
        <v>8805.9734104148229</v>
      </c>
      <c r="L120" s="30">
        <f t="shared" si="185"/>
        <v>8948.9006134068859</v>
      </c>
      <c r="M120" s="30">
        <f t="shared" si="185"/>
        <v>9113.8177068686055</v>
      </c>
      <c r="N120" s="30">
        <f t="shared" si="185"/>
        <v>9299.9842185052767</v>
      </c>
      <c r="O120" s="30">
        <f t="shared" si="185"/>
        <v>9449.1622106715295</v>
      </c>
      <c r="P120" s="30">
        <f t="shared" si="185"/>
        <v>9554.7411941938262</v>
      </c>
      <c r="Q120" s="30">
        <f t="shared" si="185"/>
        <v>9578.9355454617762</v>
      </c>
      <c r="R120" s="30">
        <f t="shared" si="185"/>
        <v>9480.7439453777442</v>
      </c>
      <c r="S120" s="30">
        <f t="shared" si="185"/>
        <v>9373.3577156454976</v>
      </c>
      <c r="V120" s="30"/>
    </row>
    <row r="121" spans="2:22" outlineLevel="2">
      <c r="C121" t="s">
        <v>51</v>
      </c>
      <c r="E121" s="30">
        <v>2.5</v>
      </c>
      <c r="F121" s="30">
        <v>9.1999999999999993</v>
      </c>
      <c r="G121" s="30">
        <v>9.5</v>
      </c>
      <c r="H121" s="30">
        <v>19.100000000000001</v>
      </c>
      <c r="I121" s="30">
        <v>24.1</v>
      </c>
      <c r="J121" s="30">
        <f>Assumptions!J93</f>
        <v>24.1</v>
      </c>
      <c r="K121" s="30">
        <f>Assumptions!K93</f>
        <v>24.1</v>
      </c>
      <c r="L121" s="30">
        <f>Assumptions!L93</f>
        <v>24.1</v>
      </c>
      <c r="M121" s="30">
        <f>Assumptions!M93</f>
        <v>24.1</v>
      </c>
      <c r="N121" s="30">
        <f>Assumptions!N93</f>
        <v>24.1</v>
      </c>
      <c r="O121" s="30">
        <f>Assumptions!O93</f>
        <v>24.1</v>
      </c>
      <c r="P121" s="30">
        <f>Assumptions!P93</f>
        <v>24.1</v>
      </c>
      <c r="Q121" s="30">
        <f>Assumptions!Q93</f>
        <v>24.1</v>
      </c>
      <c r="R121" s="30">
        <f>Assumptions!R93</f>
        <v>24.1</v>
      </c>
      <c r="S121" s="30">
        <f>Assumptions!S93</f>
        <v>24.1</v>
      </c>
    </row>
    <row r="122" spans="2:22" outlineLevel="2">
      <c r="C122" t="s">
        <v>52</v>
      </c>
      <c r="E122" s="30">
        <v>194.7</v>
      </c>
      <c r="F122" s="30">
        <v>142.5</v>
      </c>
      <c r="G122" s="30">
        <v>144.80000000000001</v>
      </c>
      <c r="H122" s="30">
        <v>188.6</v>
      </c>
      <c r="I122" s="30">
        <v>150.69999999999999</v>
      </c>
      <c r="J122" s="30">
        <f>Assumptions!J94</f>
        <v>150.69999999999999</v>
      </c>
      <c r="K122" s="30">
        <f>Assumptions!K94</f>
        <v>150.69999999999999</v>
      </c>
      <c r="L122" s="30">
        <f>Assumptions!L94</f>
        <v>150.69999999999999</v>
      </c>
      <c r="M122" s="30">
        <f>Assumptions!M94</f>
        <v>150.69999999999999</v>
      </c>
      <c r="N122" s="30">
        <f>Assumptions!N94</f>
        <v>150.69999999999999</v>
      </c>
      <c r="O122" s="30">
        <f>Assumptions!O94</f>
        <v>150.69999999999999</v>
      </c>
      <c r="P122" s="30">
        <f>Assumptions!P94</f>
        <v>150.69999999999999</v>
      </c>
      <c r="Q122" s="30">
        <f>Assumptions!Q94</f>
        <v>150.69999999999999</v>
      </c>
      <c r="R122" s="30">
        <f>Assumptions!R94</f>
        <v>150.69999999999999</v>
      </c>
      <c r="S122" s="30">
        <f>Assumptions!S94</f>
        <v>150.69999999999999</v>
      </c>
    </row>
    <row r="123" spans="2:22" outlineLevel="2">
      <c r="C123" t="s">
        <v>53</v>
      </c>
      <c r="E123" s="30">
        <v>87.3</v>
      </c>
      <c r="F123" s="30">
        <v>233.5</v>
      </c>
      <c r="G123" s="30">
        <v>92.2</v>
      </c>
      <c r="H123" s="30">
        <v>160.80000000000001</v>
      </c>
      <c r="I123" s="30">
        <v>164.5</v>
      </c>
      <c r="J123" s="30">
        <f>Assumptions!J95</f>
        <v>164.5</v>
      </c>
      <c r="K123" s="30">
        <f>Assumptions!K95</f>
        <v>164.5</v>
      </c>
      <c r="L123" s="30">
        <f>Assumptions!L95</f>
        <v>164.5</v>
      </c>
      <c r="M123" s="30">
        <f>Assumptions!M95</f>
        <v>164.5</v>
      </c>
      <c r="N123" s="30">
        <f>Assumptions!N95</f>
        <v>164.5</v>
      </c>
      <c r="O123" s="30">
        <f>Assumptions!O95</f>
        <v>164.5</v>
      </c>
      <c r="P123" s="30">
        <f>Assumptions!P95</f>
        <v>164.5</v>
      </c>
      <c r="Q123" s="30">
        <f>Assumptions!Q95</f>
        <v>164.5</v>
      </c>
      <c r="R123" s="30">
        <f>Assumptions!R95</f>
        <v>164.5</v>
      </c>
      <c r="S123" s="30">
        <f>Assumptions!S95</f>
        <v>164.5</v>
      </c>
    </row>
    <row r="124" spans="2:22" outlineLevel="2">
      <c r="C124" s="49" t="s">
        <v>54</v>
      </c>
      <c r="D124" s="49"/>
      <c r="E124" s="52">
        <f t="shared" ref="E124:S124" si="186">SUM(E119:E123)</f>
        <v>6159.4</v>
      </c>
      <c r="F124" s="52">
        <f t="shared" si="186"/>
        <v>6534.8</v>
      </c>
      <c r="G124" s="52">
        <f t="shared" si="186"/>
        <v>6732.9000000000005</v>
      </c>
      <c r="H124" s="52">
        <f t="shared" si="186"/>
        <v>10849.400000000001</v>
      </c>
      <c r="I124" s="52">
        <f t="shared" si="186"/>
        <v>11413.900000000001</v>
      </c>
      <c r="J124" s="52">
        <f>SUM(J119:J123)</f>
        <v>11592.39556563601</v>
      </c>
      <c r="K124" s="52">
        <f t="shared" si="186"/>
        <v>11817.799401048243</v>
      </c>
      <c r="L124" s="52">
        <f t="shared" si="186"/>
        <v>12050.844967681718</v>
      </c>
      <c r="M124" s="52">
        <f t="shared" si="186"/>
        <v>12328.833144535054</v>
      </c>
      <c r="N124" s="52">
        <f t="shared" si="186"/>
        <v>12653.459623071032</v>
      </c>
      <c r="O124" s="52">
        <f t="shared" si="186"/>
        <v>12919.118591234324</v>
      </c>
      <c r="P124" s="52">
        <f t="shared" si="186"/>
        <v>13088.245722497702</v>
      </c>
      <c r="Q124" s="52">
        <f t="shared" si="186"/>
        <v>13118.109944131198</v>
      </c>
      <c r="R124" s="52">
        <f t="shared" si="186"/>
        <v>13005.346095602565</v>
      </c>
      <c r="S124" s="52">
        <f t="shared" si="186"/>
        <v>13007.517374673431</v>
      </c>
    </row>
    <row r="125" spans="2:22" outlineLevel="2">
      <c r="E125" s="30"/>
      <c r="F125" s="30"/>
      <c r="G125" s="30"/>
      <c r="H125" s="30"/>
      <c r="I125" s="30"/>
    </row>
    <row r="126" spans="2:22" outlineLevel="2">
      <c r="B126" t="s">
        <v>0</v>
      </c>
      <c r="C126" s="50" t="s">
        <v>55</v>
      </c>
      <c r="D126" s="50"/>
      <c r="E126" s="55">
        <f t="shared" ref="E126:S126" si="187">E117+E124</f>
        <v>9794</v>
      </c>
      <c r="F126" s="55">
        <f t="shared" si="187"/>
        <v>10699.9</v>
      </c>
      <c r="G126" s="55">
        <f t="shared" si="187"/>
        <v>11754.2</v>
      </c>
      <c r="H126" s="55">
        <f t="shared" si="187"/>
        <v>15050.800000000003</v>
      </c>
      <c r="I126" s="55">
        <f t="shared" si="187"/>
        <v>15977.2</v>
      </c>
      <c r="J126" s="55">
        <f t="shared" si="187"/>
        <v>16421.161718176518</v>
      </c>
      <c r="K126" s="55">
        <f t="shared" si="187"/>
        <v>17045.552835712559</v>
      </c>
      <c r="L126" s="55">
        <f t="shared" si="187"/>
        <v>17709.337844163609</v>
      </c>
      <c r="M126" s="55">
        <f t="shared" si="187"/>
        <v>18592.175213839575</v>
      </c>
      <c r="N126" s="55">
        <f t="shared" si="187"/>
        <v>19498.630362014959</v>
      </c>
      <c r="O126" s="55">
        <f t="shared" si="187"/>
        <v>20391.33451150767</v>
      </c>
      <c r="P126" s="55">
        <f t="shared" si="187"/>
        <v>21268.499711686647</v>
      </c>
      <c r="Q126" s="55">
        <f t="shared" si="187"/>
        <v>22121.270929698527</v>
      </c>
      <c r="R126" s="55">
        <f t="shared" si="187"/>
        <v>22952.461639098881</v>
      </c>
      <c r="S126" s="55">
        <f t="shared" si="187"/>
        <v>23811.697557081716</v>
      </c>
    </row>
    <row r="127" spans="2:22" outlineLevel="2">
      <c r="E127" s="30"/>
      <c r="F127" s="30"/>
      <c r="G127" s="30"/>
      <c r="H127" s="30"/>
      <c r="I127" s="30"/>
      <c r="U127" s="30"/>
    </row>
    <row r="128" spans="2:22" outlineLevel="2">
      <c r="C128" t="s">
        <v>56</v>
      </c>
      <c r="E128" s="30">
        <v>846.3</v>
      </c>
      <c r="F128" s="30">
        <v>1033.2</v>
      </c>
      <c r="G128" s="30">
        <v>1016.6</v>
      </c>
      <c r="H128" s="30">
        <v>1108.2</v>
      </c>
      <c r="I128" s="30">
        <v>1212.3</v>
      </c>
      <c r="J128" s="30">
        <f>J320</f>
        <v>1116.020488160364</v>
      </c>
      <c r="K128" s="30">
        <f t="shared" ref="K128:M128" si="188">K320</f>
        <v>1163.0850938339033</v>
      </c>
      <c r="L128" s="30">
        <f t="shared" si="188"/>
        <v>1240.7007500193199</v>
      </c>
      <c r="M128" s="30">
        <f t="shared" si="188"/>
        <v>1316.3645130320276</v>
      </c>
      <c r="N128" s="30">
        <f t="shared" ref="N128:S128" si="189">N320</f>
        <v>1388.9274606819572</v>
      </c>
      <c r="O128" s="30">
        <f t="shared" si="189"/>
        <v>1457.981238913587</v>
      </c>
      <c r="P128" s="30">
        <f t="shared" si="189"/>
        <v>1522.5806547552927</v>
      </c>
      <c r="Q128" s="30">
        <f t="shared" si="189"/>
        <v>1581.800930755649</v>
      </c>
      <c r="R128" s="30">
        <f t="shared" si="189"/>
        <v>1634.7591093368558</v>
      </c>
      <c r="S128" s="30">
        <f t="shared" si="189"/>
        <v>1680.6355006578563</v>
      </c>
    </row>
    <row r="129" spans="3:19" outlineLevel="2">
      <c r="C129" t="s">
        <v>57</v>
      </c>
      <c r="E129" s="30">
        <v>454</v>
      </c>
      <c r="F129" s="30">
        <v>519.9</v>
      </c>
      <c r="G129" s="30">
        <v>489</v>
      </c>
      <c r="H129" s="30">
        <v>678.2</v>
      </c>
      <c r="I129" s="30">
        <v>623.9</v>
      </c>
      <c r="J129" s="30">
        <f>J323</f>
        <v>626.26059378747902</v>
      </c>
      <c r="K129" s="30">
        <f t="shared" ref="K129:S129" si="190">K323</f>
        <v>659.26232749671817</v>
      </c>
      <c r="L129" s="30">
        <f t="shared" si="190"/>
        <v>703.25659620350132</v>
      </c>
      <c r="M129" s="30">
        <f t="shared" si="190"/>
        <v>746.14448873635945</v>
      </c>
      <c r="N129" s="30">
        <f t="shared" si="190"/>
        <v>787.27477061455431</v>
      </c>
      <c r="O129" s="30">
        <f t="shared" si="190"/>
        <v>826.41597773755416</v>
      </c>
      <c r="P129" s="30">
        <f t="shared" si="190"/>
        <v>863.03235384667232</v>
      </c>
      <c r="Q129" s="30">
        <f t="shared" si="190"/>
        <v>896.59971465111596</v>
      </c>
      <c r="R129" s="30">
        <f t="shared" si="190"/>
        <v>926.61758028839938</v>
      </c>
      <c r="S129" s="30">
        <f t="shared" si="190"/>
        <v>952.62133244701158</v>
      </c>
    </row>
    <row r="130" spans="3:19" outlineLevel="2">
      <c r="C130" t="s">
        <v>58</v>
      </c>
      <c r="E130" s="30">
        <v>334.7</v>
      </c>
      <c r="F130" s="30">
        <v>334.9</v>
      </c>
      <c r="G130" s="30">
        <v>303</v>
      </c>
      <c r="H130" s="30">
        <v>1217.9000000000001</v>
      </c>
      <c r="I130" s="30">
        <v>337.4</v>
      </c>
      <c r="J130" s="30">
        <f>Assumptions!J97</f>
        <v>337.4</v>
      </c>
      <c r="K130" s="30">
        <f>Assumptions!K97</f>
        <v>337.4</v>
      </c>
      <c r="L130" s="30">
        <f>Assumptions!L97</f>
        <v>337.4</v>
      </c>
      <c r="M130" s="30">
        <f>Assumptions!M97</f>
        <v>337.4</v>
      </c>
      <c r="N130" s="30">
        <f>Assumptions!N97</f>
        <v>337.4</v>
      </c>
      <c r="O130" s="30">
        <f>Assumptions!O97</f>
        <v>337.4</v>
      </c>
      <c r="P130" s="30">
        <f>Assumptions!P97</f>
        <v>337.4</v>
      </c>
      <c r="Q130" s="30">
        <f>Assumptions!Q97</f>
        <v>337.4</v>
      </c>
      <c r="R130" s="30">
        <f>Assumptions!R97</f>
        <v>337.4</v>
      </c>
      <c r="S130" s="30">
        <f>Assumptions!S97</f>
        <v>337.4</v>
      </c>
    </row>
    <row r="131" spans="3:19" outlineLevel="2">
      <c r="C131" t="s">
        <v>59</v>
      </c>
      <c r="E131" s="30">
        <v>163.30000000000001</v>
      </c>
      <c r="F131" s="30">
        <v>170.3</v>
      </c>
      <c r="G131" s="30">
        <v>205.9</v>
      </c>
      <c r="H131" s="30">
        <v>365.4</v>
      </c>
      <c r="I131" s="30">
        <v>367.7</v>
      </c>
      <c r="J131" s="30">
        <f>Assumptions!J98</f>
        <v>367.7</v>
      </c>
      <c r="K131" s="30">
        <f>Assumptions!K98</f>
        <v>367.7</v>
      </c>
      <c r="L131" s="30">
        <f>Assumptions!L98</f>
        <v>367.7</v>
      </c>
      <c r="M131" s="30">
        <f>Assumptions!M98</f>
        <v>367.7</v>
      </c>
      <c r="N131" s="30">
        <f>Assumptions!N98</f>
        <v>367.7</v>
      </c>
      <c r="O131" s="30">
        <f>Assumptions!O98</f>
        <v>367.7</v>
      </c>
      <c r="P131" s="30">
        <f>Assumptions!P98</f>
        <v>367.7</v>
      </c>
      <c r="Q131" s="30">
        <f>Assumptions!Q98</f>
        <v>367.7</v>
      </c>
      <c r="R131" s="30">
        <f>Assumptions!R98</f>
        <v>367.7</v>
      </c>
      <c r="S131" s="30">
        <f>Assumptions!S98</f>
        <v>367.7</v>
      </c>
    </row>
    <row r="132" spans="3:19" outlineLevel="2">
      <c r="C132" t="s">
        <v>60</v>
      </c>
      <c r="E132" s="30">
        <v>26.8</v>
      </c>
      <c r="F132" s="30">
        <v>26</v>
      </c>
      <c r="G132" s="30">
        <v>26.9</v>
      </c>
      <c r="H132" s="30">
        <v>46.3</v>
      </c>
      <c r="I132" s="30">
        <v>44.1</v>
      </c>
      <c r="J132" s="30">
        <f t="shared" ref="J132:S132" si="191">J326</f>
        <v>43.4789629662761</v>
      </c>
      <c r="K132" s="30">
        <f t="shared" si="191"/>
        <v>45.770151605639604</v>
      </c>
      <c r="L132" s="30">
        <f t="shared" si="191"/>
        <v>48.824511402193785</v>
      </c>
      <c r="M132" s="30">
        <f t="shared" si="191"/>
        <v>51.802059582034332</v>
      </c>
      <c r="N132" s="30">
        <f t="shared" si="191"/>
        <v>54.657583337344072</v>
      </c>
      <c r="O132" s="30">
        <f t="shared" si="191"/>
        <v>57.375012969414719</v>
      </c>
      <c r="P132" s="30">
        <f t="shared" si="191"/>
        <v>59.917152897426611</v>
      </c>
      <c r="Q132" s="30">
        <f t="shared" si="191"/>
        <v>62.247610939605941</v>
      </c>
      <c r="R132" s="30">
        <f t="shared" si="191"/>
        <v>64.331640625198773</v>
      </c>
      <c r="S132" s="30">
        <f t="shared" si="191"/>
        <v>66.136985218654374</v>
      </c>
    </row>
    <row r="133" spans="3:19" outlineLevel="2">
      <c r="C133" t="s">
        <v>61</v>
      </c>
      <c r="E133" s="30">
        <v>0</v>
      </c>
      <c r="F133" s="30">
        <v>3.7</v>
      </c>
      <c r="G133" s="30">
        <v>0</v>
      </c>
      <c r="H133" s="30">
        <v>0</v>
      </c>
      <c r="I133" s="30">
        <v>0</v>
      </c>
      <c r="J133" s="30">
        <f>Assumptions!J99</f>
        <v>0</v>
      </c>
      <c r="K133" s="30">
        <f>Assumptions!K99</f>
        <v>0</v>
      </c>
      <c r="L133" s="30">
        <f>Assumptions!L99</f>
        <v>0</v>
      </c>
      <c r="M133" s="30">
        <f>Assumptions!M99</f>
        <v>0</v>
      </c>
      <c r="N133" s="30">
        <f>Assumptions!N99</f>
        <v>0</v>
      </c>
      <c r="O133" s="30">
        <f>Assumptions!O99</f>
        <v>0</v>
      </c>
      <c r="P133" s="30">
        <f>Assumptions!P99</f>
        <v>0</v>
      </c>
      <c r="Q133" s="30">
        <f>Assumptions!Q99</f>
        <v>0</v>
      </c>
      <c r="R133" s="30">
        <f>Assumptions!R99</f>
        <v>0</v>
      </c>
      <c r="S133" s="30">
        <f>Assumptions!S99</f>
        <v>0</v>
      </c>
    </row>
    <row r="134" spans="3:19" outlineLevel="2">
      <c r="C134" s="49" t="s">
        <v>62</v>
      </c>
      <c r="D134" s="49"/>
      <c r="E134" s="52">
        <f>SUM(E128:E133)</f>
        <v>1825.1</v>
      </c>
      <c r="F134" s="52">
        <f>SUM(F128:F133)</f>
        <v>2088</v>
      </c>
      <c r="G134" s="52">
        <f t="shared" ref="G134:M134" si="192">SUM(G128:G133)</f>
        <v>2041.4</v>
      </c>
      <c r="H134" s="52">
        <f t="shared" si="192"/>
        <v>3416.0000000000005</v>
      </c>
      <c r="I134" s="52">
        <f t="shared" si="192"/>
        <v>2585.3999999999996</v>
      </c>
      <c r="J134" s="52">
        <f t="shared" si="192"/>
        <v>2490.860044914119</v>
      </c>
      <c r="K134" s="52">
        <f t="shared" si="192"/>
        <v>2573.2175729362607</v>
      </c>
      <c r="L134" s="52">
        <f t="shared" si="192"/>
        <v>2697.8818576250151</v>
      </c>
      <c r="M134" s="52">
        <f t="shared" si="192"/>
        <v>2819.4110613504213</v>
      </c>
      <c r="N134" s="52">
        <f t="shared" ref="N134:S134" si="193">SUM(N128:N133)</f>
        <v>2935.9598146338553</v>
      </c>
      <c r="O134" s="52">
        <f t="shared" si="193"/>
        <v>3046.872229620556</v>
      </c>
      <c r="P134" s="52">
        <f t="shared" si="193"/>
        <v>3150.6301614993913</v>
      </c>
      <c r="Q134" s="52">
        <f t="shared" si="193"/>
        <v>3245.7482563463709</v>
      </c>
      <c r="R134" s="52">
        <f t="shared" si="193"/>
        <v>3330.8083302504538</v>
      </c>
      <c r="S134" s="52">
        <f t="shared" si="193"/>
        <v>3404.4938183235222</v>
      </c>
    </row>
    <row r="135" spans="3:19" outlineLevel="2">
      <c r="E135" s="30"/>
      <c r="F135" s="30"/>
      <c r="G135" s="30"/>
      <c r="H135" s="30"/>
      <c r="I135" s="30"/>
    </row>
    <row r="136" spans="3:19" outlineLevel="2">
      <c r="C136" t="s">
        <v>58</v>
      </c>
      <c r="E136" s="30">
        <v>3851.9</v>
      </c>
      <c r="F136" s="30">
        <v>3393.9</v>
      </c>
      <c r="G136" s="30">
        <v>3634.2</v>
      </c>
      <c r="H136" s="30">
        <v>4732</v>
      </c>
      <c r="I136" s="30">
        <v>5424.8</v>
      </c>
      <c r="J136" s="30">
        <f t="shared" ref="J136:S136" si="194">I136+J180</f>
        <v>5350.3754256058564</v>
      </c>
      <c r="K136" s="30">
        <f t="shared" si="194"/>
        <v>5221.5052229984885</v>
      </c>
      <c r="L136" s="30">
        <f t="shared" si="194"/>
        <v>5037.8096232111457</v>
      </c>
      <c r="M136" s="30">
        <f t="shared" si="194"/>
        <v>5037.8096232111457</v>
      </c>
      <c r="N136" s="30">
        <f t="shared" si="194"/>
        <v>5037.8096232111457</v>
      </c>
      <c r="O136" s="30">
        <f t="shared" si="194"/>
        <v>5037.8096232111457</v>
      </c>
      <c r="P136" s="30">
        <f t="shared" si="194"/>
        <v>5037.8096232111457</v>
      </c>
      <c r="Q136" s="30">
        <f t="shared" si="194"/>
        <v>5037.8096232111457</v>
      </c>
      <c r="R136" s="30">
        <f t="shared" si="194"/>
        <v>5037.8096232111457</v>
      </c>
      <c r="S136" s="30">
        <f t="shared" si="194"/>
        <v>5037.8096232111457</v>
      </c>
    </row>
    <row r="137" spans="3:19" outlineLevel="2">
      <c r="C137" t="s">
        <v>60</v>
      </c>
      <c r="E137" s="30">
        <v>98.3</v>
      </c>
      <c r="F137" s="30">
        <v>95.6</v>
      </c>
      <c r="G137" s="30">
        <v>78</v>
      </c>
      <c r="H137" s="30">
        <v>200.5</v>
      </c>
      <c r="I137" s="30">
        <v>183.1</v>
      </c>
      <c r="J137" s="30">
        <f>Assumptions!J101</f>
        <v>183.1</v>
      </c>
      <c r="K137" s="30">
        <f>Assumptions!K101</f>
        <v>183.1</v>
      </c>
      <c r="L137" s="30">
        <f>Assumptions!L101</f>
        <v>183.1</v>
      </c>
      <c r="M137" s="30">
        <f>Assumptions!M101</f>
        <v>183.1</v>
      </c>
      <c r="N137" s="30">
        <f>Assumptions!N101</f>
        <v>183.1</v>
      </c>
      <c r="O137" s="30">
        <f>Assumptions!O101</f>
        <v>183.1</v>
      </c>
      <c r="P137" s="30">
        <f>Assumptions!P101</f>
        <v>183.1</v>
      </c>
      <c r="Q137" s="30">
        <f>Assumptions!Q101</f>
        <v>183.1</v>
      </c>
      <c r="R137" s="30">
        <f>Assumptions!R101</f>
        <v>183.1</v>
      </c>
      <c r="S137" s="30">
        <f>Assumptions!S101</f>
        <v>183.1</v>
      </c>
    </row>
    <row r="138" spans="3:19" outlineLevel="2">
      <c r="C138" t="s">
        <v>63</v>
      </c>
      <c r="E138" s="30">
        <v>379.9</v>
      </c>
      <c r="F138" s="30">
        <v>367.2</v>
      </c>
      <c r="G138" s="30">
        <v>322.5</v>
      </c>
      <c r="H138" s="30">
        <v>404.7</v>
      </c>
      <c r="I138" s="30">
        <v>338.9</v>
      </c>
      <c r="J138" s="30">
        <f>Assumptions!J102</f>
        <v>338.9</v>
      </c>
      <c r="K138" s="30">
        <f>Assumptions!K102</f>
        <v>338.9</v>
      </c>
      <c r="L138" s="30">
        <f>Assumptions!L102</f>
        <v>338.9</v>
      </c>
      <c r="M138" s="30">
        <f>Assumptions!M102</f>
        <v>338.9</v>
      </c>
      <c r="N138" s="30">
        <f>Assumptions!N102</f>
        <v>338.9</v>
      </c>
      <c r="O138" s="30">
        <f>Assumptions!O102</f>
        <v>338.9</v>
      </c>
      <c r="P138" s="30">
        <f>Assumptions!P102</f>
        <v>338.9</v>
      </c>
      <c r="Q138" s="30">
        <f>Assumptions!Q102</f>
        <v>338.9</v>
      </c>
      <c r="R138" s="30">
        <f>Assumptions!R102</f>
        <v>338.9</v>
      </c>
      <c r="S138" s="30">
        <f>Assumptions!S102</f>
        <v>338.9</v>
      </c>
    </row>
    <row r="139" spans="3:19" outlineLevel="2">
      <c r="C139" t="s">
        <v>64</v>
      </c>
      <c r="E139" s="30">
        <v>319.5</v>
      </c>
      <c r="F139" s="30">
        <v>322.89999999999998</v>
      </c>
      <c r="G139" s="30">
        <v>239.9</v>
      </c>
      <c r="H139" s="30">
        <v>328.6</v>
      </c>
      <c r="I139" s="30">
        <v>357.2</v>
      </c>
      <c r="J139" s="30">
        <f>Assumptions!J100</f>
        <v>357.2</v>
      </c>
      <c r="K139" s="30">
        <f>Assumptions!K100</f>
        <v>357.2</v>
      </c>
      <c r="L139" s="30">
        <f>Assumptions!L100</f>
        <v>357.2</v>
      </c>
      <c r="M139" s="30">
        <f>Assumptions!M100</f>
        <v>357.2</v>
      </c>
      <c r="N139" s="30">
        <f>Assumptions!N100</f>
        <v>357.2</v>
      </c>
      <c r="O139" s="30">
        <f>Assumptions!O100</f>
        <v>357.2</v>
      </c>
      <c r="P139" s="30">
        <f>Assumptions!P100</f>
        <v>357.2</v>
      </c>
      <c r="Q139" s="30">
        <f>Assumptions!Q100</f>
        <v>357.2</v>
      </c>
      <c r="R139" s="30">
        <f>Assumptions!R100</f>
        <v>357.2</v>
      </c>
      <c r="S139" s="30">
        <f>Assumptions!S100</f>
        <v>357.2</v>
      </c>
    </row>
    <row r="140" spans="3:19" outlineLevel="2">
      <c r="C140" t="s">
        <v>65</v>
      </c>
      <c r="E140" s="30">
        <v>31.3</v>
      </c>
      <c r="F140" s="30">
        <v>36.4</v>
      </c>
      <c r="G140" s="30">
        <v>36.1</v>
      </c>
      <c r="H140" s="30">
        <v>35.700000000000003</v>
      </c>
      <c r="I140" s="30">
        <v>41</v>
      </c>
      <c r="J140" s="30">
        <f>Assumptions!J104</f>
        <v>41</v>
      </c>
      <c r="K140" s="30">
        <f>Assumptions!K104</f>
        <v>41</v>
      </c>
      <c r="L140" s="30">
        <f>Assumptions!L104</f>
        <v>41</v>
      </c>
      <c r="M140" s="30">
        <f>Assumptions!M104</f>
        <v>41</v>
      </c>
      <c r="N140" s="30">
        <f>Assumptions!N104</f>
        <v>41</v>
      </c>
      <c r="O140" s="30">
        <f>Assumptions!O104</f>
        <v>41</v>
      </c>
      <c r="P140" s="30">
        <f>Assumptions!P104</f>
        <v>41</v>
      </c>
      <c r="Q140" s="30">
        <f>Assumptions!Q104</f>
        <v>41</v>
      </c>
      <c r="R140" s="30">
        <f>Assumptions!R104</f>
        <v>41</v>
      </c>
      <c r="S140" s="30">
        <f>Assumptions!S104</f>
        <v>41</v>
      </c>
    </row>
    <row r="141" spans="3:19" outlineLevel="2">
      <c r="C141" s="49" t="s">
        <v>66</v>
      </c>
      <c r="D141" s="49"/>
      <c r="E141" s="52">
        <f>SUM(E136:E140)</f>
        <v>4680.9000000000005</v>
      </c>
      <c r="F141" s="52">
        <f>SUM(F136:F140)</f>
        <v>4215.9999999999991</v>
      </c>
      <c r="G141" s="52">
        <f t="shared" ref="G141:M141" si="195">SUM(G136:G140)</f>
        <v>4310.7</v>
      </c>
      <c r="H141" s="52">
        <f t="shared" si="195"/>
        <v>5701.5</v>
      </c>
      <c r="I141" s="52">
        <f t="shared" si="195"/>
        <v>6345</v>
      </c>
      <c r="J141" s="52">
        <f t="shared" si="195"/>
        <v>6270.5754256058563</v>
      </c>
      <c r="K141" s="52">
        <f t="shared" si="195"/>
        <v>6141.7052229984884</v>
      </c>
      <c r="L141" s="52">
        <f t="shared" si="195"/>
        <v>5958.0096232111455</v>
      </c>
      <c r="M141" s="52">
        <f t="shared" si="195"/>
        <v>5958.0096232111455</v>
      </c>
      <c r="N141" s="52">
        <f t="shared" ref="N141:S141" si="196">SUM(N136:N140)</f>
        <v>5958.0096232111455</v>
      </c>
      <c r="O141" s="52">
        <f t="shared" si="196"/>
        <v>5958.0096232111455</v>
      </c>
      <c r="P141" s="52">
        <f t="shared" si="196"/>
        <v>5958.0096232111455</v>
      </c>
      <c r="Q141" s="52">
        <f t="shared" si="196"/>
        <v>5958.0096232111455</v>
      </c>
      <c r="R141" s="52">
        <f t="shared" si="196"/>
        <v>5958.0096232111455</v>
      </c>
      <c r="S141" s="52">
        <f t="shared" si="196"/>
        <v>5958.0096232111455</v>
      </c>
    </row>
    <row r="142" spans="3:19" outlineLevel="2">
      <c r="E142" s="30"/>
      <c r="F142" s="30"/>
      <c r="G142" s="30"/>
      <c r="H142" s="30"/>
      <c r="I142" s="30"/>
    </row>
    <row r="143" spans="3:19" outlineLevel="2">
      <c r="C143" t="s">
        <v>67</v>
      </c>
      <c r="E143" s="30">
        <v>1.4</v>
      </c>
      <c r="F143" s="30">
        <v>1.4</v>
      </c>
      <c r="G143" s="30">
        <v>1.5</v>
      </c>
      <c r="H143" s="30">
        <v>1.6</v>
      </c>
      <c r="I143" s="30">
        <v>1.6</v>
      </c>
      <c r="J143" s="30">
        <f>Assumptions!J114</f>
        <v>1.6</v>
      </c>
      <c r="K143" s="30">
        <f>Assumptions!K114</f>
        <v>1.6</v>
      </c>
      <c r="L143" s="30">
        <f>Assumptions!L114</f>
        <v>1.6</v>
      </c>
      <c r="M143" s="30">
        <f>Assumptions!M114</f>
        <v>1.6</v>
      </c>
      <c r="N143" s="30">
        <f>Assumptions!N114</f>
        <v>1.6</v>
      </c>
      <c r="O143" s="30">
        <f>Assumptions!O114</f>
        <v>1.6</v>
      </c>
      <c r="P143" s="30">
        <f>Assumptions!P114</f>
        <v>1.6</v>
      </c>
      <c r="Q143" s="30">
        <f>Assumptions!Q114</f>
        <v>1.6</v>
      </c>
      <c r="R143" s="30">
        <f>Assumptions!R114</f>
        <v>1.6</v>
      </c>
      <c r="S143" s="30">
        <f>Assumptions!S114</f>
        <v>1.6</v>
      </c>
    </row>
    <row r="144" spans="3:19" outlineLevel="2">
      <c r="C144" t="s">
        <v>68</v>
      </c>
      <c r="E144" s="30">
        <v>-5.2</v>
      </c>
      <c r="F144" s="30">
        <v>-10.7</v>
      </c>
      <c r="G144" s="30">
        <v>-15.1</v>
      </c>
      <c r="H144" s="30">
        <v>-11.9</v>
      </c>
      <c r="I144" s="30">
        <v>-8.8000000000000007</v>
      </c>
      <c r="J144" s="30">
        <f t="shared" ref="J144:S144" si="197">I144+J184</f>
        <v>-8.8000000000000007</v>
      </c>
      <c r="K144" s="30">
        <f t="shared" si="197"/>
        <v>-8.8000000000000007</v>
      </c>
      <c r="L144" s="30">
        <f t="shared" si="197"/>
        <v>-8.8000000000000007</v>
      </c>
      <c r="M144" s="30">
        <f t="shared" si="197"/>
        <v>-8.8000000000000007</v>
      </c>
      <c r="N144" s="30">
        <f t="shared" si="197"/>
        <v>-8.8000000000000007</v>
      </c>
      <c r="O144" s="30">
        <f t="shared" si="197"/>
        <v>-8.8000000000000007</v>
      </c>
      <c r="P144" s="30">
        <f t="shared" si="197"/>
        <v>-8.8000000000000007</v>
      </c>
      <c r="Q144" s="30">
        <f t="shared" si="197"/>
        <v>-8.8000000000000007</v>
      </c>
      <c r="R144" s="30">
        <f t="shared" si="197"/>
        <v>-8.8000000000000007</v>
      </c>
      <c r="S144" s="30">
        <f t="shared" si="197"/>
        <v>-8.8000000000000007</v>
      </c>
    </row>
    <row r="145" spans="1:19" outlineLevel="2">
      <c r="C145" t="s">
        <v>69</v>
      </c>
      <c r="E145" s="30">
        <v>3289.6</v>
      </c>
      <c r="F145" s="30">
        <v>4403.1000000000004</v>
      </c>
      <c r="G145" s="30">
        <v>4979.8</v>
      </c>
      <c r="H145" s="30">
        <v>5930.7</v>
      </c>
      <c r="I145" s="30">
        <v>7040</v>
      </c>
      <c r="J145" s="30">
        <f t="shared" ref="J145:S145" si="198">I145+J156+J183+J189</f>
        <v>7655.9756452923748</v>
      </c>
      <c r="K145" s="30">
        <f t="shared" si="198"/>
        <v>8330.2399790001418</v>
      </c>
      <c r="L145" s="30">
        <f t="shared" si="198"/>
        <v>9056.7768052017018</v>
      </c>
      <c r="M145" s="30">
        <f t="shared" si="198"/>
        <v>9822.1608212800747</v>
      </c>
      <c r="N145" s="30">
        <f t="shared" si="198"/>
        <v>10616.496351980306</v>
      </c>
      <c r="O145" s="30">
        <f t="shared" si="198"/>
        <v>11403.012215705416</v>
      </c>
      <c r="P145" s="30">
        <f t="shared" si="198"/>
        <v>12181.444965989383</v>
      </c>
      <c r="Q145" s="30">
        <f t="shared" si="198"/>
        <v>12944.414041066977</v>
      </c>
      <c r="R145" s="30">
        <f t="shared" si="198"/>
        <v>13696.164828074971</v>
      </c>
      <c r="S145" s="30">
        <f t="shared" si="198"/>
        <v>14487.780333154629</v>
      </c>
    </row>
    <row r="146" spans="1:19" outlineLevel="2">
      <c r="C146" s="3" t="s">
        <v>70</v>
      </c>
      <c r="D146" s="3"/>
      <c r="E146" s="48">
        <f>SUM(E143:E145)</f>
        <v>3285.7999999999997</v>
      </c>
      <c r="F146" s="48">
        <f>SUM(F143:F145)</f>
        <v>4393.8</v>
      </c>
      <c r="G146" s="48">
        <f t="shared" ref="G146:M146" si="199">SUM(G143:G145)</f>
        <v>4966.2</v>
      </c>
      <c r="H146" s="48">
        <f t="shared" si="199"/>
        <v>5920.4</v>
      </c>
      <c r="I146" s="48">
        <f t="shared" si="199"/>
        <v>7032.8</v>
      </c>
      <c r="J146" s="48">
        <f>SUM(J143:J145)</f>
        <v>7648.775645292375</v>
      </c>
      <c r="K146" s="48">
        <f t="shared" si="199"/>
        <v>8323.0399790001411</v>
      </c>
      <c r="L146" s="48">
        <f t="shared" si="199"/>
        <v>9049.5768052017011</v>
      </c>
      <c r="M146" s="48">
        <f t="shared" si="199"/>
        <v>9814.960821280074</v>
      </c>
      <c r="N146" s="48">
        <f t="shared" ref="N146:S146" si="200">SUM(N143:N145)</f>
        <v>10609.296351980305</v>
      </c>
      <c r="O146" s="48">
        <f t="shared" si="200"/>
        <v>11395.812215705415</v>
      </c>
      <c r="P146" s="48">
        <f t="shared" si="200"/>
        <v>12174.244965989383</v>
      </c>
      <c r="Q146" s="48">
        <f t="shared" si="200"/>
        <v>12937.214041066976</v>
      </c>
      <c r="R146" s="48">
        <f t="shared" si="200"/>
        <v>13688.96482807497</v>
      </c>
      <c r="S146" s="48">
        <f t="shared" si="200"/>
        <v>14480.580333154629</v>
      </c>
    </row>
    <row r="147" spans="1:19" outlineLevel="2">
      <c r="C147" t="s">
        <v>71</v>
      </c>
      <c r="E147" s="30">
        <v>2.2000000000000002</v>
      </c>
      <c r="F147" s="30">
        <v>2.1</v>
      </c>
      <c r="G147" s="30">
        <v>0.9</v>
      </c>
      <c r="H147" s="30">
        <v>12.8</v>
      </c>
      <c r="I147" s="30">
        <v>14</v>
      </c>
      <c r="J147" s="30">
        <f t="shared" ref="J147:S147" si="201">I147+J157+J185</f>
        <v>10.950602364165317</v>
      </c>
      <c r="K147" s="30">
        <f t="shared" si="201"/>
        <v>7.5900607776645597</v>
      </c>
      <c r="L147" s="30">
        <f t="shared" si="201"/>
        <v>3.8695581257426976</v>
      </c>
      <c r="M147" s="30">
        <f t="shared" si="201"/>
        <v>-0.20629200206484022</v>
      </c>
      <c r="N147" s="30">
        <f t="shared" si="201"/>
        <v>-4.6354278103481716</v>
      </c>
      <c r="O147" s="30">
        <f t="shared" si="201"/>
        <v>-9.3595570294485597</v>
      </c>
      <c r="P147" s="30">
        <f t="shared" si="201"/>
        <v>-14.38503901327327</v>
      </c>
      <c r="Q147" s="30">
        <f t="shared" si="201"/>
        <v>-19.700990925963303</v>
      </c>
      <c r="R147" s="30">
        <f t="shared" si="201"/>
        <v>-25.32114243768925</v>
      </c>
      <c r="S147" s="30">
        <f t="shared" si="201"/>
        <v>-31.386217607578875</v>
      </c>
    </row>
    <row r="148" spans="1:19" outlineLevel="2">
      <c r="C148" s="49" t="s">
        <v>72</v>
      </c>
      <c r="D148" s="49"/>
      <c r="E148" s="52">
        <f>E146+E147</f>
        <v>3287.9999999999995</v>
      </c>
      <c r="F148" s="52">
        <f>F146+F147</f>
        <v>4395.9000000000005</v>
      </c>
      <c r="G148" s="52">
        <f t="shared" ref="G148:I148" si="202">G146+G147</f>
        <v>4967.0999999999995</v>
      </c>
      <c r="H148" s="52">
        <f t="shared" si="202"/>
        <v>5933.2</v>
      </c>
      <c r="I148" s="52">
        <f t="shared" si="202"/>
        <v>7046.8</v>
      </c>
      <c r="J148" s="52">
        <f>J146+J147</f>
        <v>7659.7262476565402</v>
      </c>
      <c r="K148" s="52">
        <f t="shared" ref="K148:R148" si="203">K146+K147</f>
        <v>8330.630039777805</v>
      </c>
      <c r="L148" s="52">
        <f t="shared" si="203"/>
        <v>9053.4463633274445</v>
      </c>
      <c r="M148" s="52">
        <f t="shared" si="203"/>
        <v>9814.7545292780087</v>
      </c>
      <c r="N148" s="52">
        <f t="shared" si="203"/>
        <v>10604.660924169957</v>
      </c>
      <c r="O148" s="52">
        <f t="shared" si="203"/>
        <v>11386.452658675966</v>
      </c>
      <c r="P148" s="52">
        <f t="shared" si="203"/>
        <v>12159.859926976109</v>
      </c>
      <c r="Q148" s="52">
        <f t="shared" si="203"/>
        <v>12917.513050141013</v>
      </c>
      <c r="R148" s="52">
        <f t="shared" si="203"/>
        <v>13663.64368563728</v>
      </c>
      <c r="S148" s="52">
        <f>S146+S147</f>
        <v>14449.19411554705</v>
      </c>
    </row>
    <row r="149" spans="1:19" outlineLevel="2">
      <c r="E149" s="30"/>
      <c r="F149" s="30"/>
      <c r="G149" s="30"/>
      <c r="H149" s="30"/>
      <c r="I149" s="30"/>
    </row>
    <row r="150" spans="1:19" outlineLevel="2">
      <c r="B150" t="s">
        <v>0</v>
      </c>
      <c r="C150" s="50" t="s">
        <v>73</v>
      </c>
      <c r="D150" s="50"/>
      <c r="E150" s="55">
        <f>E134+E141+E148</f>
        <v>9794</v>
      </c>
      <c r="F150" s="55">
        <f>F134+F141+F148</f>
        <v>10699.9</v>
      </c>
      <c r="G150" s="55">
        <f t="shared" ref="G150:M150" si="204">G134+G141+G148</f>
        <v>11319.2</v>
      </c>
      <c r="H150" s="55">
        <f t="shared" si="204"/>
        <v>15050.7</v>
      </c>
      <c r="I150" s="55">
        <f t="shared" si="204"/>
        <v>15977.2</v>
      </c>
      <c r="J150" s="55">
        <f t="shared" si="204"/>
        <v>16421.161718176514</v>
      </c>
      <c r="K150" s="55">
        <f t="shared" si="204"/>
        <v>17045.552835712551</v>
      </c>
      <c r="L150" s="55">
        <f t="shared" si="204"/>
        <v>17709.337844163605</v>
      </c>
      <c r="M150" s="55">
        <f t="shared" si="204"/>
        <v>18592.175213839575</v>
      </c>
      <c r="N150" s="55">
        <f t="shared" ref="N150:R150" si="205">N134+N141+N148</f>
        <v>19498.630362014956</v>
      </c>
      <c r="O150" s="55">
        <f t="shared" si="205"/>
        <v>20391.334511507666</v>
      </c>
      <c r="P150" s="55">
        <f t="shared" si="205"/>
        <v>21268.499711686643</v>
      </c>
      <c r="Q150" s="55">
        <f t="shared" si="205"/>
        <v>22121.27092969853</v>
      </c>
      <c r="R150" s="55">
        <f t="shared" si="205"/>
        <v>22952.461639098881</v>
      </c>
      <c r="S150" s="55">
        <f>S134+S141+S148</f>
        <v>23811.697557081716</v>
      </c>
    </row>
    <row r="152" spans="1:19">
      <c r="A152" t="s">
        <v>0</v>
      </c>
      <c r="C152" s="203" t="s">
        <v>74</v>
      </c>
      <c r="D152" s="203"/>
      <c r="E152" s="204">
        <v>2020</v>
      </c>
      <c r="F152" s="204">
        <f>E152+1</f>
        <v>2021</v>
      </c>
      <c r="G152" s="204">
        <f t="shared" ref="G152" si="206">F152+1</f>
        <v>2022</v>
      </c>
      <c r="H152" s="204">
        <f t="shared" ref="H152" si="207">G152+1</f>
        <v>2023</v>
      </c>
      <c r="I152" s="204">
        <f t="shared" ref="I152" si="208">H152+1</f>
        <v>2024</v>
      </c>
      <c r="J152" s="205">
        <f t="shared" ref="J152" si="209">I152+1</f>
        <v>2025</v>
      </c>
      <c r="K152" s="205">
        <f t="shared" ref="K152" si="210">J152+1</f>
        <v>2026</v>
      </c>
      <c r="L152" s="205">
        <f t="shared" ref="L152" si="211">K152+1</f>
        <v>2027</v>
      </c>
      <c r="M152" s="205">
        <f t="shared" ref="M152" si="212">L152+1</f>
        <v>2028</v>
      </c>
      <c r="N152" s="205">
        <f t="shared" ref="N152" si="213">M152+1</f>
        <v>2029</v>
      </c>
      <c r="O152" s="205">
        <f t="shared" ref="O152" si="214">N152+1</f>
        <v>2030</v>
      </c>
      <c r="P152" s="205">
        <f t="shared" ref="P152" si="215">O152+1</f>
        <v>2031</v>
      </c>
      <c r="Q152" s="205">
        <f t="shared" ref="Q152" si="216">P152+1</f>
        <v>2032</v>
      </c>
      <c r="R152" s="205">
        <f t="shared" ref="R152" si="217">Q152+1</f>
        <v>2033</v>
      </c>
      <c r="S152" s="205">
        <f t="shared" ref="S152" si="218">R152+1</f>
        <v>2034</v>
      </c>
    </row>
    <row r="153" spans="1:19" ht="14.45" customHeight="1" outlineLevel="1"/>
    <row r="154" spans="1:19" outlineLevel="2">
      <c r="B154" t="s">
        <v>0</v>
      </c>
      <c r="C154" s="200" t="s">
        <v>75</v>
      </c>
      <c r="D154" s="200"/>
      <c r="E154" s="201">
        <v>2020</v>
      </c>
      <c r="F154" s="201">
        <f>E154+1</f>
        <v>2021</v>
      </c>
      <c r="G154" s="201">
        <f t="shared" ref="G154" si="219">F154+1</f>
        <v>2022</v>
      </c>
      <c r="H154" s="201">
        <f t="shared" ref="H154" si="220">G154+1</f>
        <v>2023</v>
      </c>
      <c r="I154" s="201">
        <f t="shared" ref="I154" si="221">H154+1</f>
        <v>2024</v>
      </c>
      <c r="J154" s="202">
        <f t="shared" ref="J154" si="222">I154+1</f>
        <v>2025</v>
      </c>
      <c r="K154" s="202">
        <f t="shared" ref="K154" si="223">J154+1</f>
        <v>2026</v>
      </c>
      <c r="L154" s="202">
        <f t="shared" ref="L154" si="224">K154+1</f>
        <v>2027</v>
      </c>
      <c r="M154" s="202">
        <f t="shared" ref="M154" si="225">L154+1</f>
        <v>2028</v>
      </c>
      <c r="N154" s="202">
        <f t="shared" ref="N154" si="226">M154+1</f>
        <v>2029</v>
      </c>
      <c r="O154" s="202">
        <f t="shared" ref="O154" si="227">N154+1</f>
        <v>2030</v>
      </c>
      <c r="P154" s="202">
        <f t="shared" ref="P154" si="228">O154+1</f>
        <v>2031</v>
      </c>
      <c r="Q154" s="202">
        <f t="shared" ref="Q154" si="229">P154+1</f>
        <v>2032</v>
      </c>
      <c r="R154" s="202">
        <f t="shared" ref="R154" si="230">Q154+1</f>
        <v>2033</v>
      </c>
      <c r="S154" s="202">
        <f t="shared" ref="S154" si="231">R154+1</f>
        <v>2034</v>
      </c>
    </row>
    <row r="155" spans="1:19" outlineLevel="2"/>
    <row r="156" spans="1:19" outlineLevel="2">
      <c r="C156" s="3" t="s">
        <v>36</v>
      </c>
      <c r="E156" s="30"/>
      <c r="F156" s="30"/>
      <c r="G156" s="30"/>
      <c r="H156" s="30"/>
      <c r="I156" s="48"/>
      <c r="J156" s="48">
        <f t="shared" ref="J156:S156" si="232">J98</f>
        <v>1140.6956394303243</v>
      </c>
      <c r="K156" s="48">
        <f t="shared" si="232"/>
        <v>1309.2511334131386</v>
      </c>
      <c r="L156" s="48">
        <f t="shared" si="232"/>
        <v>1482.7282167378789</v>
      </c>
      <c r="M156" s="48">
        <f t="shared" si="232"/>
        <v>1645.9871313513386</v>
      </c>
      <c r="N156" s="48">
        <f t="shared" si="232"/>
        <v>1805.3080243187046</v>
      </c>
      <c r="O156" s="48">
        <f t="shared" si="232"/>
        <v>1895.2189487352045</v>
      </c>
      <c r="P156" s="48">
        <f t="shared" si="232"/>
        <v>1995.9814109845333</v>
      </c>
      <c r="Q156" s="48">
        <f t="shared" si="232"/>
        <v>2090.3262330892976</v>
      </c>
      <c r="R156" s="48">
        <f t="shared" si="232"/>
        <v>2211.0317264940986</v>
      </c>
      <c r="S156" s="48">
        <f t="shared" si="232"/>
        <v>2513.0650954909793</v>
      </c>
    </row>
    <row r="157" spans="1:19" outlineLevel="2">
      <c r="C157" s="29" t="s">
        <v>76</v>
      </c>
      <c r="E157" s="30"/>
      <c r="F157" s="30"/>
      <c r="G157" s="30"/>
      <c r="H157" s="30"/>
      <c r="I157" s="30"/>
      <c r="J157" s="30">
        <f t="shared" ref="J157:S157" si="233">-J101</f>
        <v>-2.0933134295285711</v>
      </c>
      <c r="K157" s="30">
        <f t="shared" si="233"/>
        <v>-2.263181092188868</v>
      </c>
      <c r="L157" s="30">
        <f t="shared" si="233"/>
        <v>-2.4777407956781725</v>
      </c>
      <c r="M157" s="30">
        <f t="shared" si="233"/>
        <v>-2.6962513587142833</v>
      </c>
      <c r="N157" s="30">
        <f t="shared" si="233"/>
        <v>-2.9160008142451326</v>
      </c>
      <c r="O157" s="30">
        <f t="shared" si="233"/>
        <v>-3.1356345832457895</v>
      </c>
      <c r="P157" s="30">
        <f t="shared" si="233"/>
        <v>-3.3525323931030884</v>
      </c>
      <c r="Q157" s="30">
        <f t="shared" si="233"/>
        <v>-3.56392636932764</v>
      </c>
      <c r="R157" s="30">
        <f t="shared" si="233"/>
        <v>-3.766955584371948</v>
      </c>
      <c r="S157" s="30">
        <f t="shared" si="233"/>
        <v>-3.9587272851742767</v>
      </c>
    </row>
    <row r="158" spans="1:19" outlineLevel="2">
      <c r="C158" s="29" t="s">
        <v>77</v>
      </c>
      <c r="E158" s="30"/>
      <c r="F158" s="30"/>
      <c r="G158" s="30"/>
      <c r="H158" s="30"/>
      <c r="I158" s="30"/>
      <c r="J158" s="30">
        <f t="shared" ref="J158:S158" si="234">J66</f>
        <v>598.54061865644621</v>
      </c>
      <c r="K158" s="30">
        <f t="shared" si="234"/>
        <v>640.68502700231011</v>
      </c>
      <c r="L158" s="30">
        <f t="shared" si="234"/>
        <v>684.13744034579736</v>
      </c>
      <c r="M158" s="30">
        <f t="shared" si="234"/>
        <v>694.98904609332044</v>
      </c>
      <c r="N158" s="30">
        <f t="shared" si="234"/>
        <v>661.23679535512224</v>
      </c>
      <c r="O158" s="30">
        <f t="shared" si="234"/>
        <v>706.51366484037908</v>
      </c>
      <c r="P158" s="30">
        <f t="shared" si="234"/>
        <v>729.64321335998159</v>
      </c>
      <c r="Q158" s="30">
        <f t="shared" si="234"/>
        <v>751.04450449164824</v>
      </c>
      <c r="R158" s="30">
        <f t="shared" si="234"/>
        <v>728.48744035258608</v>
      </c>
      <c r="S158" s="30">
        <f t="shared" si="234"/>
        <v>466.22567676479241</v>
      </c>
    </row>
    <row r="159" spans="1:19" outlineLevel="2">
      <c r="C159" s="29" t="s">
        <v>60</v>
      </c>
      <c r="E159" s="30"/>
      <c r="F159" s="30"/>
      <c r="G159" s="30"/>
      <c r="H159" s="30"/>
      <c r="I159" s="30"/>
      <c r="J159" s="30">
        <f t="shared" ref="J159:S159" si="235">J132-I132</f>
        <v>-0.62103703372390129</v>
      </c>
      <c r="K159" s="30">
        <f t="shared" si="235"/>
        <v>2.2911886393635044</v>
      </c>
      <c r="L159" s="30">
        <f t="shared" si="235"/>
        <v>3.0543597965541807</v>
      </c>
      <c r="M159" s="30">
        <f t="shared" si="235"/>
        <v>2.9775481798405465</v>
      </c>
      <c r="N159" s="30">
        <f t="shared" si="235"/>
        <v>2.8555237553097399</v>
      </c>
      <c r="O159" s="30">
        <f t="shared" si="235"/>
        <v>2.7174296320706475</v>
      </c>
      <c r="P159" s="30">
        <f t="shared" si="235"/>
        <v>2.5421399280118919</v>
      </c>
      <c r="Q159" s="30">
        <f t="shared" si="235"/>
        <v>2.3304580421793304</v>
      </c>
      <c r="R159" s="30">
        <f t="shared" si="235"/>
        <v>2.0840296855928315</v>
      </c>
      <c r="S159" s="30">
        <f t="shared" si="235"/>
        <v>1.8053445934556009</v>
      </c>
    </row>
    <row r="160" spans="1:19" outlineLevel="2">
      <c r="C160" s="29" t="s">
        <v>29</v>
      </c>
      <c r="E160" s="30"/>
      <c r="F160" s="30"/>
      <c r="G160" s="30"/>
      <c r="H160" s="30"/>
      <c r="I160" s="30"/>
      <c r="J160" s="30">
        <f t="shared" ref="J160:S160" si="236">-J80</f>
        <v>-14.626968292491904</v>
      </c>
      <c r="K160" s="30">
        <f t="shared" si="236"/>
        <v>-20.415725712432195</v>
      </c>
      <c r="L160" s="30">
        <f t="shared" si="236"/>
        <v>-27.410596486257667</v>
      </c>
      <c r="M160" s="30">
        <f t="shared" si="236"/>
        <v>-34.655265280445256</v>
      </c>
      <c r="N160" s="30">
        <f t="shared" si="236"/>
        <v>-42.21281646748497</v>
      </c>
      <c r="O160" s="30">
        <f t="shared" si="236"/>
        <v>-49.497181318030187</v>
      </c>
      <c r="P160" s="30">
        <f t="shared" si="236"/>
        <v>-57.94580303082499</v>
      </c>
      <c r="Q160" s="30">
        <f t="shared" si="236"/>
        <v>-68.360128607307104</v>
      </c>
      <c r="R160" s="30">
        <f t="shared" si="236"/>
        <v>-81.500982349802811</v>
      </c>
      <c r="S160" s="30">
        <f t="shared" si="236"/>
        <v>-97.553833608422508</v>
      </c>
    </row>
    <row r="161" spans="2:19" outlineLevel="2">
      <c r="C161" s="29" t="s">
        <v>43</v>
      </c>
      <c r="I161" s="30"/>
      <c r="J161" s="30">
        <f t="shared" ref="J161:S161" si="237">I112-J112</f>
        <v>35.96073102596938</v>
      </c>
      <c r="K161" s="30">
        <f t="shared" si="237"/>
        <v>-47.451476183202885</v>
      </c>
      <c r="L161" s="30">
        <f t="shared" si="237"/>
        <v>-73.371208482802103</v>
      </c>
      <c r="M161" s="30">
        <f t="shared" si="237"/>
        <v>-137.8170032531948</v>
      </c>
      <c r="N161" s="30">
        <f t="shared" si="237"/>
        <v>-132.16905416998907</v>
      </c>
      <c r="O161" s="30">
        <f t="shared" si="237"/>
        <v>-125.77731268263233</v>
      </c>
      <c r="P161" s="30">
        <f t="shared" si="237"/>
        <v>-117.66395892463925</v>
      </c>
      <c r="Q161" s="30">
        <f t="shared" si="237"/>
        <v>-107.86617854078258</v>
      </c>
      <c r="R161" s="30">
        <f t="shared" si="237"/>
        <v>-96.460143920990504</v>
      </c>
      <c r="S161" s="30">
        <f t="shared" si="237"/>
        <v>-83.561093450629414</v>
      </c>
    </row>
    <row r="162" spans="2:19" outlineLevel="2">
      <c r="C162" s="29" t="s">
        <v>44</v>
      </c>
      <c r="I162" s="30"/>
      <c r="J162" s="30">
        <f t="shared" ref="J162:S162" si="238">I113-J113</f>
        <v>-46.12561020045473</v>
      </c>
      <c r="K162" s="30">
        <f t="shared" si="238"/>
        <v>-8.6021970765386868E-2</v>
      </c>
      <c r="L162" s="30">
        <f t="shared" si="238"/>
        <v>10.531299376550351</v>
      </c>
      <c r="M162" s="30">
        <f t="shared" si="238"/>
        <v>-84.43821620241647</v>
      </c>
      <c r="N162" s="30">
        <f t="shared" si="238"/>
        <v>-80.97781048664433</v>
      </c>
      <c r="O162" s="30">
        <f t="shared" si="238"/>
        <v>-77.061695371095993</v>
      </c>
      <c r="P162" s="30">
        <f t="shared" si="238"/>
        <v>-72.090776670407877</v>
      </c>
      <c r="Q162" s="30">
        <f t="shared" si="238"/>
        <v>-66.087837418884874</v>
      </c>
      <c r="R162" s="30">
        <f t="shared" si="238"/>
        <v>-59.099547189783607</v>
      </c>
      <c r="S162" s="30">
        <f t="shared" si="238"/>
        <v>-51.196510650662958</v>
      </c>
    </row>
    <row r="163" spans="2:19" outlineLevel="2">
      <c r="C163" s="29" t="s">
        <v>45</v>
      </c>
      <c r="I163" s="30"/>
      <c r="J163" s="30">
        <f t="shared" ref="J163:S163" si="239">I114-J114</f>
        <v>24.698367893201066</v>
      </c>
      <c r="K163" s="30">
        <f t="shared" si="239"/>
        <v>-13.110972158658626</v>
      </c>
      <c r="L163" s="30">
        <f t="shared" si="239"/>
        <v>-17.478100915458811</v>
      </c>
      <c r="M163" s="30">
        <f t="shared" si="239"/>
        <v>-17.038558334419406</v>
      </c>
      <c r="N163" s="30">
        <f t="shared" si="239"/>
        <v>-16.340292462629805</v>
      </c>
      <c r="O163" s="30">
        <f t="shared" si="239"/>
        <v>-15.550070228652032</v>
      </c>
      <c r="P163" s="30">
        <f t="shared" si="239"/>
        <v>-14.547002043811403</v>
      </c>
      <c r="Q163" s="30">
        <f t="shared" si="239"/>
        <v>-13.335685234727521</v>
      </c>
      <c r="R163" s="30">
        <f t="shared" si="239"/>
        <v>-11.925537127844791</v>
      </c>
      <c r="S163" s="30">
        <f t="shared" si="239"/>
        <v>-10.330804847285208</v>
      </c>
    </row>
    <row r="164" spans="2:19" outlineLevel="2">
      <c r="C164" s="29" t="s">
        <v>46</v>
      </c>
      <c r="I164" s="30"/>
      <c r="J164" s="30">
        <f t="shared" ref="J164:S164" si="240">I115-J115</f>
        <v>0</v>
      </c>
      <c r="K164" s="30">
        <f t="shared" si="240"/>
        <v>0</v>
      </c>
      <c r="L164" s="30">
        <f t="shared" si="240"/>
        <v>0</v>
      </c>
      <c r="M164" s="30">
        <f t="shared" si="240"/>
        <v>0</v>
      </c>
      <c r="N164" s="30">
        <f t="shared" si="240"/>
        <v>0</v>
      </c>
      <c r="O164" s="30">
        <f t="shared" si="240"/>
        <v>0</v>
      </c>
      <c r="P164" s="30">
        <f t="shared" si="240"/>
        <v>0</v>
      </c>
      <c r="Q164" s="30">
        <f t="shared" si="240"/>
        <v>0</v>
      </c>
      <c r="R164" s="30">
        <f t="shared" si="240"/>
        <v>0</v>
      </c>
      <c r="S164" s="30">
        <f t="shared" si="240"/>
        <v>0</v>
      </c>
    </row>
    <row r="165" spans="2:19" outlineLevel="2">
      <c r="C165" s="29" t="s">
        <v>56</v>
      </c>
      <c r="I165" s="30"/>
      <c r="J165" s="30">
        <f t="shared" ref="J165:S165" si="241">J128-I128</f>
        <v>-96.279511839635916</v>
      </c>
      <c r="K165" s="30">
        <f t="shared" si="241"/>
        <v>47.06460567353929</v>
      </c>
      <c r="L165" s="30">
        <f t="shared" si="241"/>
        <v>77.615656185416583</v>
      </c>
      <c r="M165" s="30">
        <f t="shared" si="241"/>
        <v>75.663763012707705</v>
      </c>
      <c r="N165" s="30">
        <f t="shared" si="241"/>
        <v>72.562947649929583</v>
      </c>
      <c r="O165" s="30">
        <f t="shared" si="241"/>
        <v>69.053778231629849</v>
      </c>
      <c r="P165" s="30">
        <f t="shared" si="241"/>
        <v>64.59941584170565</v>
      </c>
      <c r="Q165" s="30">
        <f t="shared" si="241"/>
        <v>59.220276000356307</v>
      </c>
      <c r="R165" s="30">
        <f t="shared" si="241"/>
        <v>52.958178581206766</v>
      </c>
      <c r="S165" s="30">
        <f t="shared" si="241"/>
        <v>45.876391321000483</v>
      </c>
    </row>
    <row r="166" spans="2:19" outlineLevel="2">
      <c r="C166" s="29" t="s">
        <v>57</v>
      </c>
      <c r="I166" s="30"/>
      <c r="J166" s="30">
        <f t="shared" ref="J166:S166" si="242">J129-I129</f>
        <v>2.360593787479047</v>
      </c>
      <c r="K166" s="30">
        <f t="shared" si="242"/>
        <v>33.001733709239147</v>
      </c>
      <c r="L166" s="30">
        <f t="shared" si="242"/>
        <v>43.994268706783146</v>
      </c>
      <c r="M166" s="30">
        <f t="shared" si="242"/>
        <v>42.887892532858132</v>
      </c>
      <c r="N166" s="30">
        <f t="shared" si="242"/>
        <v>41.130281878194864</v>
      </c>
      <c r="O166" s="30">
        <f t="shared" si="242"/>
        <v>39.141207122999845</v>
      </c>
      <c r="P166" s="30">
        <f t="shared" si="242"/>
        <v>36.616376109118164</v>
      </c>
      <c r="Q166" s="30">
        <f t="shared" si="242"/>
        <v>33.567360804443638</v>
      </c>
      <c r="R166" s="30">
        <f t="shared" si="242"/>
        <v>30.017865637283421</v>
      </c>
      <c r="S166" s="30">
        <f t="shared" si="242"/>
        <v>26.003752158612201</v>
      </c>
    </row>
    <row r="167" spans="2:19" outlineLevel="2">
      <c r="C167" s="29" t="s">
        <v>59</v>
      </c>
      <c r="I167" s="30"/>
      <c r="J167" s="30">
        <f t="shared" ref="J167:S167" si="243">J131-I131</f>
        <v>0</v>
      </c>
      <c r="K167" s="30">
        <f t="shared" si="243"/>
        <v>0</v>
      </c>
      <c r="L167" s="30">
        <f t="shared" si="243"/>
        <v>0</v>
      </c>
      <c r="M167" s="30">
        <f t="shared" si="243"/>
        <v>0</v>
      </c>
      <c r="N167" s="30">
        <f t="shared" si="243"/>
        <v>0</v>
      </c>
      <c r="O167" s="30">
        <f t="shared" si="243"/>
        <v>0</v>
      </c>
      <c r="P167" s="30">
        <f t="shared" si="243"/>
        <v>0</v>
      </c>
      <c r="Q167" s="30">
        <f t="shared" si="243"/>
        <v>0</v>
      </c>
      <c r="R167" s="30">
        <f t="shared" si="243"/>
        <v>0</v>
      </c>
      <c r="S167" s="30">
        <f t="shared" si="243"/>
        <v>0</v>
      </c>
    </row>
    <row r="168" spans="2:19" outlineLevel="2">
      <c r="C168" s="49" t="s">
        <v>75</v>
      </c>
      <c r="D168" s="49"/>
      <c r="E168" s="51"/>
      <c r="F168" s="51"/>
      <c r="G168" s="51"/>
      <c r="H168" s="51"/>
      <c r="I168" s="52"/>
      <c r="J168" s="52">
        <f>SUM(J156:J167)</f>
        <v>1642.5095099975849</v>
      </c>
      <c r="K168" s="52">
        <f t="shared" ref="K168:S168" si="244">SUM(K156:K167)</f>
        <v>1948.9663113203428</v>
      </c>
      <c r="L168" s="52">
        <f t="shared" si="244"/>
        <v>2181.323594468784</v>
      </c>
      <c r="M168" s="52">
        <f t="shared" si="244"/>
        <v>2185.860086740875</v>
      </c>
      <c r="N168" s="52">
        <f t="shared" si="244"/>
        <v>2308.4775985562683</v>
      </c>
      <c r="O168" s="52">
        <f t="shared" si="244"/>
        <v>2441.6231343786276</v>
      </c>
      <c r="P168" s="52">
        <f t="shared" si="244"/>
        <v>2563.7824831605631</v>
      </c>
      <c r="Q168" s="52">
        <f t="shared" si="244"/>
        <v>2677.2750762568958</v>
      </c>
      <c r="R168" s="52">
        <f t="shared" si="244"/>
        <v>2771.8260745779744</v>
      </c>
      <c r="S168" s="52">
        <f t="shared" si="244"/>
        <v>2806.3752904866656</v>
      </c>
    </row>
    <row r="169" spans="2:19" outlineLevel="2"/>
    <row r="170" spans="2:19" outlineLevel="2">
      <c r="B170" t="s">
        <v>0</v>
      </c>
      <c r="C170" s="200" t="s">
        <v>78</v>
      </c>
      <c r="D170" s="200"/>
      <c r="E170" s="201">
        <v>2020</v>
      </c>
      <c r="F170" s="201">
        <f>E170+1</f>
        <v>2021</v>
      </c>
      <c r="G170" s="201">
        <f t="shared" ref="G170" si="245">F170+1</f>
        <v>2022</v>
      </c>
      <c r="H170" s="201">
        <f t="shared" ref="H170" si="246">G170+1</f>
        <v>2023</v>
      </c>
      <c r="I170" s="201">
        <f t="shared" ref="I170" si="247">H170+1</f>
        <v>2024</v>
      </c>
      <c r="J170" s="202">
        <f t="shared" ref="J170" si="248">I170+1</f>
        <v>2025</v>
      </c>
      <c r="K170" s="202">
        <f t="shared" ref="K170" si="249">J170+1</f>
        <v>2026</v>
      </c>
      <c r="L170" s="202">
        <f t="shared" ref="L170" si="250">K170+1</f>
        <v>2027</v>
      </c>
      <c r="M170" s="202">
        <f t="shared" ref="M170" si="251">L170+1</f>
        <v>2028</v>
      </c>
      <c r="N170" s="202">
        <f t="shared" ref="N170" si="252">M170+1</f>
        <v>2029</v>
      </c>
      <c r="O170" s="202">
        <f t="shared" ref="O170" si="253">N170+1</f>
        <v>2030</v>
      </c>
      <c r="P170" s="202">
        <f t="shared" ref="P170" si="254">O170+1</f>
        <v>2031</v>
      </c>
      <c r="Q170" s="202">
        <f t="shared" ref="Q170" si="255">P170+1</f>
        <v>2032</v>
      </c>
      <c r="R170" s="202">
        <f t="shared" ref="R170" si="256">Q170+1</f>
        <v>2033</v>
      </c>
      <c r="S170" s="202">
        <f t="shared" ref="S170" si="257">R170+1</f>
        <v>2034</v>
      </c>
    </row>
    <row r="171" spans="2:19" outlineLevel="2"/>
    <row r="172" spans="2:19" outlineLevel="2">
      <c r="C172" t="s">
        <v>79</v>
      </c>
      <c r="J172" s="30">
        <f>-J198-J203</f>
        <v>-498.20841467836948</v>
      </c>
      <c r="K172" s="30">
        <f t="shared" ref="K172:S172" si="258">-K198-K203</f>
        <v>-522.68374183815627</v>
      </c>
      <c r="L172" s="30">
        <f t="shared" si="258"/>
        <v>-555.31154646323989</v>
      </c>
      <c r="M172" s="30">
        <f t="shared" si="258"/>
        <v>-587.11882089869209</v>
      </c>
      <c r="N172" s="30">
        <f t="shared" si="258"/>
        <v>-576.64831766343764</v>
      </c>
      <c r="O172" s="30">
        <f t="shared" si="258"/>
        <v>-597.7342990453667</v>
      </c>
      <c r="P172" s="30">
        <f t="shared" si="258"/>
        <v>-565.62111860607047</v>
      </c>
      <c r="Q172" s="30">
        <f t="shared" si="258"/>
        <v>-526.74438882779054</v>
      </c>
      <c r="R172" s="30">
        <f t="shared" si="258"/>
        <v>-481.46511971434245</v>
      </c>
      <c r="S172" s="30">
        <f t="shared" si="258"/>
        <v>-430.2964440406821</v>
      </c>
    </row>
    <row r="173" spans="2:19" outlineLevel="2">
      <c r="C173" t="s">
        <v>80</v>
      </c>
      <c r="J173" s="30">
        <f>-J208</f>
        <v>-25.047569614085607</v>
      </c>
      <c r="K173" s="30">
        <f t="shared" ref="K173:S173" si="259">-K208</f>
        <v>-26.36748855943792</v>
      </c>
      <c r="L173" s="30">
        <f t="shared" si="259"/>
        <v>-28.127058807007874</v>
      </c>
      <c r="M173" s="30">
        <f t="shared" si="259"/>
        <v>-29.842379049850308</v>
      </c>
      <c r="N173" s="30">
        <f t="shared" si="259"/>
        <v>-31.487402876689796</v>
      </c>
      <c r="O173" s="30">
        <f t="shared" si="259"/>
        <v>-33.052872778385989</v>
      </c>
      <c r="P173" s="30">
        <f t="shared" si="259"/>
        <v>-34.517360946261853</v>
      </c>
      <c r="Q173" s="30">
        <f t="shared" si="259"/>
        <v>-35.859902397617724</v>
      </c>
      <c r="R173" s="30">
        <f t="shared" si="259"/>
        <v>-37.060480218854984</v>
      </c>
      <c r="S173" s="30">
        <f t="shared" si="259"/>
        <v>-38.100511794977585</v>
      </c>
    </row>
    <row r="174" spans="2:19" outlineLevel="2">
      <c r="C174" t="s">
        <v>81</v>
      </c>
      <c r="J174" s="30">
        <f>-J213</f>
        <v>-253.78019999999998</v>
      </c>
      <c r="K174" s="30">
        <f t="shared" ref="K174:S174" si="260">-K213</f>
        <v>-317.03763201694773</v>
      </c>
      <c r="L174" s="30">
        <f t="shared" si="260"/>
        <v>-333.74440170902511</v>
      </c>
      <c r="M174" s="30">
        <f t="shared" si="260"/>
        <v>-356.01602299811589</v>
      </c>
      <c r="N174" s="30">
        <f t="shared" si="260"/>
        <v>-377.72755335097219</v>
      </c>
      <c r="O174" s="30">
        <f t="shared" si="260"/>
        <v>-341.38546117991785</v>
      </c>
      <c r="P174" s="30">
        <f t="shared" si="260"/>
        <v>-298.63186507102751</v>
      </c>
      <c r="Q174" s="30">
        <f t="shared" si="260"/>
        <v>-218.30443489973592</v>
      </c>
      <c r="R174" s="30">
        <f t="shared" si="260"/>
        <v>-97.197991890753784</v>
      </c>
      <c r="S174" s="30">
        <f t="shared" si="260"/>
        <v>0</v>
      </c>
    </row>
    <row r="175" spans="2:19" outlineLevel="2">
      <c r="C175" t="s">
        <v>82</v>
      </c>
      <c r="J175" s="30">
        <f t="shared" ref="J175:S175" si="261">J80</f>
        <v>14.626968292491904</v>
      </c>
      <c r="K175" s="30">
        <f t="shared" si="261"/>
        <v>20.415725712432195</v>
      </c>
      <c r="L175" s="30">
        <f t="shared" si="261"/>
        <v>27.410596486257667</v>
      </c>
      <c r="M175" s="30">
        <f t="shared" si="261"/>
        <v>34.655265280445256</v>
      </c>
      <c r="N175" s="30">
        <f t="shared" si="261"/>
        <v>42.21281646748497</v>
      </c>
      <c r="O175" s="30">
        <f t="shared" si="261"/>
        <v>49.497181318030187</v>
      </c>
      <c r="P175" s="30">
        <f t="shared" si="261"/>
        <v>57.94580303082499</v>
      </c>
      <c r="Q175" s="30">
        <f t="shared" si="261"/>
        <v>68.360128607307104</v>
      </c>
      <c r="R175" s="30">
        <f t="shared" si="261"/>
        <v>81.500982349802811</v>
      </c>
      <c r="S175" s="30">
        <f t="shared" si="261"/>
        <v>97.553833608422508</v>
      </c>
    </row>
    <row r="176" spans="2:19" outlineLevel="2">
      <c r="C176" s="49" t="s">
        <v>78</v>
      </c>
      <c r="D176" s="49"/>
      <c r="E176" s="51"/>
      <c r="F176" s="51"/>
      <c r="G176" s="51"/>
      <c r="H176" s="51"/>
      <c r="I176" s="51"/>
      <c r="J176" s="52">
        <f>SUM(J172:J175)</f>
        <v>-762.40921599996318</v>
      </c>
      <c r="K176" s="52">
        <f t="shared" ref="K176:S176" si="262">SUM(K172:K175)</f>
        <v>-845.67313670210967</v>
      </c>
      <c r="L176" s="52">
        <f t="shared" si="262"/>
        <v>-889.77241049301529</v>
      </c>
      <c r="M176" s="52">
        <f t="shared" si="262"/>
        <v>-938.32195766621294</v>
      </c>
      <c r="N176" s="52">
        <f t="shared" si="262"/>
        <v>-943.65045742361463</v>
      </c>
      <c r="O176" s="52">
        <f t="shared" si="262"/>
        <v>-922.67545168564038</v>
      </c>
      <c r="P176" s="52">
        <f t="shared" si="262"/>
        <v>-840.82454159253484</v>
      </c>
      <c r="Q176" s="52">
        <f t="shared" si="262"/>
        <v>-712.54859751783715</v>
      </c>
      <c r="R176" s="52">
        <f t="shared" si="262"/>
        <v>-534.22260947414838</v>
      </c>
      <c r="S176" s="52">
        <f t="shared" si="262"/>
        <v>-370.84312222723719</v>
      </c>
    </row>
    <row r="177" spans="2:19" outlineLevel="2"/>
    <row r="178" spans="2:19" outlineLevel="2">
      <c r="B178" t="s">
        <v>0</v>
      </c>
      <c r="C178" s="200" t="s">
        <v>83</v>
      </c>
      <c r="D178" s="200"/>
      <c r="E178" s="201">
        <v>2020</v>
      </c>
      <c r="F178" s="201">
        <f>E178+1</f>
        <v>2021</v>
      </c>
      <c r="G178" s="201">
        <f t="shared" ref="G178" si="263">F178+1</f>
        <v>2022</v>
      </c>
      <c r="H178" s="201">
        <f t="shared" ref="H178" si="264">G178+1</f>
        <v>2023</v>
      </c>
      <c r="I178" s="201">
        <f t="shared" ref="I178" si="265">H178+1</f>
        <v>2024</v>
      </c>
      <c r="J178" s="202">
        <f t="shared" ref="J178" si="266">I178+1</f>
        <v>2025</v>
      </c>
      <c r="K178" s="202">
        <f t="shared" ref="K178" si="267">J178+1</f>
        <v>2026</v>
      </c>
      <c r="L178" s="202">
        <f t="shared" ref="L178" si="268">K178+1</f>
        <v>2027</v>
      </c>
      <c r="M178" s="202">
        <f t="shared" ref="M178" si="269">L178+1</f>
        <v>2028</v>
      </c>
      <c r="N178" s="202">
        <f t="shared" ref="N178" si="270">M178+1</f>
        <v>2029</v>
      </c>
      <c r="O178" s="202">
        <f t="shared" ref="O178" si="271">N178+1</f>
        <v>2030</v>
      </c>
      <c r="P178" s="202">
        <f t="shared" ref="P178" si="272">O178+1</f>
        <v>2031</v>
      </c>
      <c r="Q178" s="202">
        <f t="shared" ref="Q178" si="273">P178+1</f>
        <v>2032</v>
      </c>
      <c r="R178" s="202">
        <f t="shared" ref="R178" si="274">Q178+1</f>
        <v>2033</v>
      </c>
      <c r="S178" s="202">
        <f t="shared" ref="S178" si="275">R178+1</f>
        <v>2034</v>
      </c>
    </row>
    <row r="179" spans="2:19" outlineLevel="2"/>
    <row r="180" spans="2:19" outlineLevel="2">
      <c r="C180" t="s">
        <v>58</v>
      </c>
      <c r="J180" s="30">
        <f t="shared" ref="J180:S180" si="276">J337</f>
        <v>-74.424574394144031</v>
      </c>
      <c r="K180" s="30">
        <f t="shared" si="276"/>
        <v>-128.87020260736824</v>
      </c>
      <c r="L180" s="30">
        <f t="shared" si="276"/>
        <v>-183.6955997873425</v>
      </c>
      <c r="M180" s="30">
        <f t="shared" si="276"/>
        <v>0</v>
      </c>
      <c r="N180" s="30">
        <f t="shared" si="276"/>
        <v>0</v>
      </c>
      <c r="O180" s="30">
        <f t="shared" si="276"/>
        <v>0</v>
      </c>
      <c r="P180" s="30">
        <f t="shared" si="276"/>
        <v>0</v>
      </c>
      <c r="Q180" s="30">
        <f t="shared" si="276"/>
        <v>0</v>
      </c>
      <c r="R180" s="30">
        <f t="shared" si="276"/>
        <v>0</v>
      </c>
      <c r="S180" s="30">
        <f t="shared" si="276"/>
        <v>0</v>
      </c>
    </row>
    <row r="181" spans="2:19" outlineLevel="2">
      <c r="C181" t="s">
        <v>60</v>
      </c>
      <c r="J181" s="30">
        <f t="shared" ref="J181:S181" si="277">J137-I137</f>
        <v>0</v>
      </c>
      <c r="K181" s="30">
        <f t="shared" si="277"/>
        <v>0</v>
      </c>
      <c r="L181" s="30">
        <f t="shared" si="277"/>
        <v>0</v>
      </c>
      <c r="M181" s="30">
        <f t="shared" si="277"/>
        <v>0</v>
      </c>
      <c r="N181" s="30">
        <f t="shared" si="277"/>
        <v>0</v>
      </c>
      <c r="O181" s="30">
        <f t="shared" si="277"/>
        <v>0</v>
      </c>
      <c r="P181" s="30">
        <f t="shared" si="277"/>
        <v>0</v>
      </c>
      <c r="Q181" s="30">
        <f t="shared" si="277"/>
        <v>0</v>
      </c>
      <c r="R181" s="30">
        <f t="shared" si="277"/>
        <v>0</v>
      </c>
      <c r="S181" s="30">
        <f t="shared" si="277"/>
        <v>0</v>
      </c>
    </row>
    <row r="182" spans="2:19" outlineLevel="2">
      <c r="C182" t="s">
        <v>65</v>
      </c>
      <c r="J182" s="30">
        <f t="shared" ref="J182:S182" si="278">J140-I140</f>
        <v>0</v>
      </c>
      <c r="K182" s="30">
        <f t="shared" si="278"/>
        <v>0</v>
      </c>
      <c r="L182" s="30">
        <f t="shared" si="278"/>
        <v>0</v>
      </c>
      <c r="M182" s="30">
        <f t="shared" si="278"/>
        <v>0</v>
      </c>
      <c r="N182" s="30">
        <f t="shared" si="278"/>
        <v>0</v>
      </c>
      <c r="O182" s="30">
        <f t="shared" si="278"/>
        <v>0</v>
      </c>
      <c r="P182" s="30">
        <f t="shared" si="278"/>
        <v>0</v>
      </c>
      <c r="Q182" s="30">
        <f t="shared" si="278"/>
        <v>0</v>
      </c>
      <c r="R182" s="30">
        <f t="shared" si="278"/>
        <v>0</v>
      </c>
      <c r="S182" s="30">
        <f t="shared" si="278"/>
        <v>0</v>
      </c>
    </row>
    <row r="183" spans="2:19" outlineLevel="2">
      <c r="C183" t="s">
        <v>84</v>
      </c>
      <c r="J183" s="30">
        <f>-Assumptions!J80</f>
        <v>-524.71999413794913</v>
      </c>
      <c r="K183" s="30">
        <f>-Assumptions!K80</f>
        <v>-634.98679970537228</v>
      </c>
      <c r="L183" s="30">
        <f>-Assumptions!L80</f>
        <v>-756.19139053631829</v>
      </c>
      <c r="M183" s="30">
        <f>-Assumptions!M80</f>
        <v>-880.60311527296619</v>
      </c>
      <c r="N183" s="30">
        <f>-Assumptions!N80</f>
        <v>-1010.9724936184747</v>
      </c>
      <c r="O183" s="30">
        <f>-Assumptions!O80</f>
        <v>-1108.7030850100948</v>
      </c>
      <c r="P183" s="30">
        <f>-Assumptions!P80</f>
        <v>-1217.5486607005655</v>
      </c>
      <c r="Q183" s="30">
        <f>-Assumptions!Q80</f>
        <v>-1327.3571580117043</v>
      </c>
      <c r="R183" s="30">
        <f>-Assumptions!R80</f>
        <v>-1459.2809394861054</v>
      </c>
      <c r="S183" s="30">
        <f>-Assumptions!S80</f>
        <v>-1721.4495904113212</v>
      </c>
    </row>
    <row r="184" spans="2:19" outlineLevel="2">
      <c r="C184" t="s">
        <v>68</v>
      </c>
      <c r="J184" s="30">
        <f>J338</f>
        <v>0</v>
      </c>
      <c r="K184" s="30">
        <f t="shared" ref="K184:S184" si="279">K338</f>
        <v>0</v>
      </c>
      <c r="L184" s="30">
        <f t="shared" si="279"/>
        <v>0</v>
      </c>
      <c r="M184" s="30">
        <f t="shared" si="279"/>
        <v>0</v>
      </c>
      <c r="N184" s="30">
        <f t="shared" si="279"/>
        <v>0</v>
      </c>
      <c r="O184" s="30">
        <f t="shared" si="279"/>
        <v>0</v>
      </c>
      <c r="P184" s="30">
        <f t="shared" si="279"/>
        <v>0</v>
      </c>
      <c r="Q184" s="30">
        <f t="shared" si="279"/>
        <v>0</v>
      </c>
      <c r="R184" s="30">
        <f t="shared" si="279"/>
        <v>0</v>
      </c>
      <c r="S184" s="30">
        <f t="shared" si="279"/>
        <v>0</v>
      </c>
    </row>
    <row r="185" spans="2:19" outlineLevel="2">
      <c r="C185" t="s">
        <v>85</v>
      </c>
      <c r="J185" s="30">
        <f>-Assumptions!J82</f>
        <v>-0.95608420630611168</v>
      </c>
      <c r="K185" s="30">
        <f>-Assumptions!K82</f>
        <v>-1.0973604943118898</v>
      </c>
      <c r="L185" s="30">
        <f>-Assumptions!L82</f>
        <v>-1.2427618562436888</v>
      </c>
      <c r="M185" s="30">
        <f>-Assumptions!M82</f>
        <v>-1.3795987690932545</v>
      </c>
      <c r="N185" s="30">
        <f>-Assumptions!N82</f>
        <v>-1.5131349940381991</v>
      </c>
      <c r="O185" s="30">
        <f>-Assumptions!O82</f>
        <v>-1.5884946358545986</v>
      </c>
      <c r="P185" s="30">
        <f>-Assumptions!P82</f>
        <v>-1.6729495907216225</v>
      </c>
      <c r="Q185" s="30">
        <f>-Assumptions!Q82</f>
        <v>-1.7520255433623924</v>
      </c>
      <c r="R185" s="30">
        <f>-Assumptions!R82</f>
        <v>-1.8531959273539986</v>
      </c>
      <c r="S185" s="30">
        <f>-Assumptions!S82</f>
        <v>-2.106347884715349</v>
      </c>
    </row>
    <row r="186" spans="2:19" outlineLevel="2">
      <c r="C186" t="s">
        <v>67</v>
      </c>
      <c r="E186" s="30"/>
      <c r="F186" s="30"/>
      <c r="G186" s="30"/>
      <c r="H186" s="30"/>
      <c r="I186" s="30"/>
      <c r="J186" s="30">
        <f t="shared" ref="J186:S186" si="280">J143-I143</f>
        <v>0</v>
      </c>
      <c r="K186" s="30">
        <f t="shared" si="280"/>
        <v>0</v>
      </c>
      <c r="L186" s="30">
        <f t="shared" si="280"/>
        <v>0</v>
      </c>
      <c r="M186" s="30">
        <f t="shared" si="280"/>
        <v>0</v>
      </c>
      <c r="N186" s="30">
        <f t="shared" si="280"/>
        <v>0</v>
      </c>
      <c r="O186" s="30">
        <f t="shared" si="280"/>
        <v>0</v>
      </c>
      <c r="P186" s="30">
        <f t="shared" si="280"/>
        <v>0</v>
      </c>
      <c r="Q186" s="30">
        <f t="shared" si="280"/>
        <v>0</v>
      </c>
      <c r="R186" s="30">
        <f t="shared" si="280"/>
        <v>0</v>
      </c>
      <c r="S186" s="30">
        <f t="shared" si="280"/>
        <v>0</v>
      </c>
    </row>
    <row r="187" spans="2:19" outlineLevel="2">
      <c r="C187" s="49" t="s">
        <v>83</v>
      </c>
      <c r="D187" s="49"/>
      <c r="E187" s="51"/>
      <c r="F187" s="51"/>
      <c r="G187" s="51"/>
      <c r="H187" s="51"/>
      <c r="I187" s="51"/>
      <c r="J187" s="52">
        <f t="shared" ref="J187:S187" si="281">J180+J181+J182+J183+J184+J185+J186</f>
        <v>-600.10065273839928</v>
      </c>
      <c r="K187" s="52">
        <f t="shared" si="281"/>
        <v>-764.95436280705246</v>
      </c>
      <c r="L187" s="52">
        <f t="shared" si="281"/>
        <v>-941.12975217990447</v>
      </c>
      <c r="M187" s="52">
        <f t="shared" si="281"/>
        <v>-881.98271404205946</v>
      </c>
      <c r="N187" s="52">
        <f t="shared" si="281"/>
        <v>-1012.4856286125129</v>
      </c>
      <c r="O187" s="52">
        <f t="shared" si="281"/>
        <v>-1110.2915796459495</v>
      </c>
      <c r="P187" s="52">
        <f t="shared" si="281"/>
        <v>-1219.2216102912871</v>
      </c>
      <c r="Q187" s="52">
        <f t="shared" si="281"/>
        <v>-1329.1091835550667</v>
      </c>
      <c r="R187" s="52">
        <f t="shared" si="281"/>
        <v>-1461.1341354134593</v>
      </c>
      <c r="S187" s="52">
        <f t="shared" si="281"/>
        <v>-1723.5559382960366</v>
      </c>
    </row>
    <row r="188" spans="2:19" outlineLevel="2">
      <c r="C188" s="3"/>
      <c r="D188" s="3"/>
      <c r="J188" s="48"/>
      <c r="K188" s="48"/>
      <c r="L188" s="48"/>
      <c r="M188" s="48"/>
      <c r="N188" s="48"/>
      <c r="O188" s="48"/>
      <c r="P188" s="48"/>
      <c r="Q188" s="48"/>
      <c r="R188" s="48"/>
      <c r="S188" s="48"/>
    </row>
    <row r="189" spans="2:19" outlineLevel="2">
      <c r="C189" t="s">
        <v>86</v>
      </c>
      <c r="D189" s="3"/>
      <c r="J189" s="30">
        <f>Assumptions!J86</f>
        <v>0</v>
      </c>
      <c r="K189" s="30">
        <f>Assumptions!K86</f>
        <v>0</v>
      </c>
      <c r="L189" s="30">
        <f>Assumptions!L86</f>
        <v>0</v>
      </c>
      <c r="M189" s="30">
        <f>Assumptions!M86</f>
        <v>0</v>
      </c>
      <c r="N189" s="30">
        <f>Assumptions!N86</f>
        <v>0</v>
      </c>
      <c r="O189" s="30">
        <f>Assumptions!O86</f>
        <v>0</v>
      </c>
      <c r="P189" s="30">
        <f>Assumptions!P86</f>
        <v>0</v>
      </c>
      <c r="Q189" s="30">
        <f>Assumptions!Q86</f>
        <v>0</v>
      </c>
      <c r="R189" s="30">
        <f>Assumptions!R86</f>
        <v>0</v>
      </c>
      <c r="S189" s="30">
        <f>Assumptions!S86</f>
        <v>0</v>
      </c>
    </row>
    <row r="190" spans="2:19" outlineLevel="2">
      <c r="J190" s="30"/>
      <c r="K190" s="30"/>
      <c r="L190" s="30"/>
      <c r="M190" s="30"/>
      <c r="N190" s="30"/>
      <c r="O190" s="30"/>
      <c r="P190" s="30"/>
      <c r="Q190" s="30"/>
      <c r="R190" s="30"/>
      <c r="S190" s="30"/>
    </row>
    <row r="191" spans="2:19" outlineLevel="2">
      <c r="C191" s="50" t="s">
        <v>87</v>
      </c>
      <c r="D191" s="50"/>
      <c r="E191" s="143"/>
      <c r="F191" s="143"/>
      <c r="G191" s="143"/>
      <c r="H191" s="143"/>
      <c r="I191" s="143"/>
      <c r="J191" s="55">
        <f t="shared" ref="J191:S191" si="282">J168+J176+J187+J189</f>
        <v>279.99964125922247</v>
      </c>
      <c r="K191" s="55">
        <f t="shared" si="282"/>
        <v>338.33881181118056</v>
      </c>
      <c r="L191" s="55">
        <f t="shared" si="282"/>
        <v>350.42143179586424</v>
      </c>
      <c r="M191" s="55">
        <f t="shared" si="282"/>
        <v>365.55541503260258</v>
      </c>
      <c r="N191" s="55">
        <f t="shared" si="282"/>
        <v>352.34151252014078</v>
      </c>
      <c r="O191" s="55">
        <f t="shared" si="282"/>
        <v>408.65610304703773</v>
      </c>
      <c r="P191" s="55">
        <f t="shared" si="282"/>
        <v>503.73633127674111</v>
      </c>
      <c r="Q191" s="55">
        <f t="shared" si="282"/>
        <v>635.61729518399193</v>
      </c>
      <c r="R191" s="55">
        <f t="shared" si="282"/>
        <v>776.46932969036698</v>
      </c>
      <c r="S191" s="55">
        <f t="shared" si="282"/>
        <v>711.97622996339192</v>
      </c>
    </row>
    <row r="193" spans="1:19">
      <c r="A193" t="s">
        <v>40</v>
      </c>
      <c r="C193" s="203" t="s">
        <v>88</v>
      </c>
      <c r="D193" s="203"/>
      <c r="E193" s="204">
        <v>2020</v>
      </c>
      <c r="F193" s="204">
        <f>E193+1</f>
        <v>2021</v>
      </c>
      <c r="G193" s="204">
        <f t="shared" ref="G193" si="283">F193+1</f>
        <v>2022</v>
      </c>
      <c r="H193" s="204">
        <f t="shared" ref="H193" si="284">G193+1</f>
        <v>2023</v>
      </c>
      <c r="I193" s="204">
        <f t="shared" ref="I193" si="285">H193+1</f>
        <v>2024</v>
      </c>
      <c r="J193" s="205">
        <f t="shared" ref="J193" si="286">I193+1</f>
        <v>2025</v>
      </c>
      <c r="K193" s="205">
        <f t="shared" ref="K193" si="287">J193+1</f>
        <v>2026</v>
      </c>
      <c r="L193" s="205">
        <f t="shared" ref="L193" si="288">K193+1</f>
        <v>2027</v>
      </c>
      <c r="M193" s="205">
        <f t="shared" ref="M193" si="289">L193+1</f>
        <v>2028</v>
      </c>
      <c r="N193" s="205">
        <f t="shared" ref="N193" si="290">M193+1</f>
        <v>2029</v>
      </c>
      <c r="O193" s="205">
        <f t="shared" ref="O193" si="291">N193+1</f>
        <v>2030</v>
      </c>
      <c r="P193" s="205">
        <f t="shared" ref="P193" si="292">O193+1</f>
        <v>2031</v>
      </c>
      <c r="Q193" s="205">
        <f t="shared" ref="Q193" si="293">P193+1</f>
        <v>2032</v>
      </c>
      <c r="R193" s="205">
        <f t="shared" ref="R193" si="294">Q193+1</f>
        <v>2033</v>
      </c>
      <c r="S193" s="205">
        <f t="shared" ref="S193" si="295">R193+1</f>
        <v>2034</v>
      </c>
    </row>
    <row r="194" spans="1:19"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</row>
    <row r="195" spans="1:19" outlineLevel="2">
      <c r="B195" t="s">
        <v>0</v>
      </c>
      <c r="C195" s="200" t="s">
        <v>89</v>
      </c>
      <c r="D195" s="200"/>
      <c r="E195" s="201">
        <v>2020</v>
      </c>
      <c r="F195" s="201">
        <f>E195+1</f>
        <v>2021</v>
      </c>
      <c r="G195" s="201">
        <f t="shared" ref="G195" si="296">F195+1</f>
        <v>2022</v>
      </c>
      <c r="H195" s="201">
        <f t="shared" ref="H195" si="297">G195+1</f>
        <v>2023</v>
      </c>
      <c r="I195" s="201">
        <f t="shared" ref="I195" si="298">H195+1</f>
        <v>2024</v>
      </c>
      <c r="J195" s="202">
        <f t="shared" ref="J195" si="299">I195+1</f>
        <v>2025</v>
      </c>
      <c r="K195" s="202">
        <f t="shared" ref="K195" si="300">J195+1</f>
        <v>2026</v>
      </c>
      <c r="L195" s="202">
        <f t="shared" ref="L195" si="301">K195+1</f>
        <v>2027</v>
      </c>
      <c r="M195" s="202">
        <f t="shared" ref="M195" si="302">L195+1</f>
        <v>2028</v>
      </c>
      <c r="N195" s="202">
        <f t="shared" ref="N195" si="303">M195+1</f>
        <v>2029</v>
      </c>
      <c r="O195" s="202">
        <f t="shared" ref="O195" si="304">N195+1</f>
        <v>2030</v>
      </c>
      <c r="P195" s="202">
        <f t="shared" ref="P195" si="305">O195+1</f>
        <v>2031</v>
      </c>
      <c r="Q195" s="202">
        <f t="shared" ref="Q195" si="306">P195+1</f>
        <v>2032</v>
      </c>
      <c r="R195" s="202">
        <f t="shared" ref="R195" si="307">Q195+1</f>
        <v>2033</v>
      </c>
      <c r="S195" s="202">
        <f t="shared" ref="S195" si="308">R195+1</f>
        <v>2034</v>
      </c>
    </row>
    <row r="196" spans="1:19" outlineLevel="2"/>
    <row r="197" spans="1:19" outlineLevel="2">
      <c r="C197" t="s">
        <v>90</v>
      </c>
      <c r="H197" s="30"/>
      <c r="I197" s="30"/>
      <c r="J197" s="30">
        <f>I200</f>
        <v>2044.8</v>
      </c>
      <c r="K197" s="30">
        <f>J200</f>
        <v>2167.5162171272045</v>
      </c>
      <c r="L197" s="30">
        <f t="shared" ref="L197:S197" si="309">K200</f>
        <v>2288.599828742244</v>
      </c>
      <c r="M197" s="30">
        <f t="shared" si="309"/>
        <v>2412.8189377366775</v>
      </c>
      <c r="N197" s="30">
        <f t="shared" si="309"/>
        <v>2538.4135257446114</v>
      </c>
      <c r="O197" s="30">
        <f t="shared" si="309"/>
        <v>2631.2527023124021</v>
      </c>
      <c r="P197" s="30">
        <f t="shared" si="309"/>
        <v>2722.9493597335413</v>
      </c>
      <c r="Q197" s="30">
        <f t="shared" si="309"/>
        <v>2762.9959741291877</v>
      </c>
      <c r="R197" s="30">
        <f t="shared" si="309"/>
        <v>2747.6157734353201</v>
      </c>
      <c r="S197" s="30">
        <f t="shared" si="309"/>
        <v>2715.606590732777</v>
      </c>
    </row>
    <row r="198" spans="1:19" outlineLevel="2">
      <c r="C198" t="s">
        <v>91</v>
      </c>
      <c r="I198" s="30"/>
      <c r="J198" s="30">
        <f>J235</f>
        <v>373.20623181544397</v>
      </c>
      <c r="K198" s="30">
        <f>K235</f>
        <v>391.09438297718964</v>
      </c>
      <c r="L198" s="30">
        <f t="shared" ref="L198:S198" si="310">L235</f>
        <v>414.94089164279575</v>
      </c>
      <c r="M198" s="30">
        <f t="shared" si="310"/>
        <v>438.18770380714238</v>
      </c>
      <c r="N198" s="30">
        <f t="shared" si="310"/>
        <v>426.73182647489728</v>
      </c>
      <c r="O198" s="30">
        <f t="shared" si="310"/>
        <v>447.9477976065412</v>
      </c>
      <c r="P198" s="30">
        <f t="shared" si="310"/>
        <v>417.11740239770972</v>
      </c>
      <c r="Q198" s="30">
        <f t="shared" si="310"/>
        <v>380.69213490545229</v>
      </c>
      <c r="R198" s="30">
        <f t="shared" si="310"/>
        <v>339.0260025934752</v>
      </c>
      <c r="S198" s="30">
        <f t="shared" si="310"/>
        <v>292.60158194766382</v>
      </c>
    </row>
    <row r="199" spans="1:19" outlineLevel="2">
      <c r="C199" t="s">
        <v>23</v>
      </c>
      <c r="I199" s="30"/>
      <c r="J199" s="30">
        <f>J242+J259</f>
        <v>250.49001468823951</v>
      </c>
      <c r="K199" s="30">
        <f>K242+K259</f>
        <v>270.01077136215025</v>
      </c>
      <c r="L199" s="30">
        <f t="shared" ref="L199:S199" si="311">L242+L259</f>
        <v>290.72178264836197</v>
      </c>
      <c r="M199" s="30">
        <f t="shared" si="311"/>
        <v>312.59311579920853</v>
      </c>
      <c r="N199" s="30">
        <f t="shared" si="311"/>
        <v>333.89264990710649</v>
      </c>
      <c r="O199" s="30">
        <f t="shared" si="311"/>
        <v>356.25114018540205</v>
      </c>
      <c r="P199" s="30">
        <f t="shared" si="311"/>
        <v>377.07078800206301</v>
      </c>
      <c r="Q199" s="30">
        <f t="shared" si="311"/>
        <v>396.07233559932001</v>
      </c>
      <c r="R199" s="30">
        <f t="shared" si="311"/>
        <v>371.03518529601843</v>
      </c>
      <c r="S199" s="30">
        <f t="shared" si="311"/>
        <v>195.7367523746436</v>
      </c>
    </row>
    <row r="200" spans="1:19" outlineLevel="2">
      <c r="C200" t="s">
        <v>92</v>
      </c>
      <c r="I200" s="117">
        <v>2044.8</v>
      </c>
      <c r="J200" s="30">
        <f>J197+J198-J199</f>
        <v>2167.5162171272045</v>
      </c>
      <c r="K200" s="30">
        <f t="shared" ref="K200:S200" si="312">K197+K198-K199</f>
        <v>2288.599828742244</v>
      </c>
      <c r="L200" s="30">
        <f t="shared" si="312"/>
        <v>2412.8189377366775</v>
      </c>
      <c r="M200" s="30">
        <f t="shared" si="312"/>
        <v>2538.4135257446114</v>
      </c>
      <c r="N200" s="30">
        <f t="shared" si="312"/>
        <v>2631.2527023124021</v>
      </c>
      <c r="O200" s="30">
        <f t="shared" si="312"/>
        <v>2722.9493597335413</v>
      </c>
      <c r="P200" s="30">
        <f t="shared" si="312"/>
        <v>2762.9959741291877</v>
      </c>
      <c r="Q200" s="30">
        <f t="shared" si="312"/>
        <v>2747.6157734353201</v>
      </c>
      <c r="R200" s="30">
        <f t="shared" si="312"/>
        <v>2715.606590732777</v>
      </c>
      <c r="S200" s="30">
        <f t="shared" si="312"/>
        <v>2812.4714203057974</v>
      </c>
    </row>
    <row r="201" spans="1:19" outlineLevel="2"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</row>
    <row r="202" spans="1:19" outlineLevel="2">
      <c r="C202" t="s">
        <v>93</v>
      </c>
      <c r="I202" s="30"/>
      <c r="J202" s="30">
        <f>I205</f>
        <v>413.7</v>
      </c>
      <c r="K202" s="30">
        <f t="shared" ref="K202:S202" si="313">J205</f>
        <v>405.94906303226946</v>
      </c>
      <c r="L202" s="30">
        <f t="shared" si="313"/>
        <v>383.92616189117507</v>
      </c>
      <c r="M202" s="30">
        <f t="shared" si="313"/>
        <v>349.82541653815332</v>
      </c>
      <c r="N202" s="30">
        <f t="shared" si="313"/>
        <v>337.30191192183645</v>
      </c>
      <c r="O202" s="30">
        <f t="shared" si="313"/>
        <v>382.92270225335204</v>
      </c>
      <c r="P202" s="30">
        <f t="shared" si="313"/>
        <v>407.70702082925197</v>
      </c>
      <c r="Q202" s="30">
        <f t="shared" si="313"/>
        <v>431.20855417468715</v>
      </c>
      <c r="R202" s="30">
        <f t="shared" si="313"/>
        <v>452.25862523409978</v>
      </c>
      <c r="S202" s="30">
        <f t="shared" si="313"/>
        <v>469.69555949204141</v>
      </c>
    </row>
    <row r="203" spans="1:19" outlineLevel="2">
      <c r="C203" t="s">
        <v>91</v>
      </c>
      <c r="I203" s="30"/>
      <c r="J203" s="30">
        <f>J236</f>
        <v>125.00218286292552</v>
      </c>
      <c r="K203" s="30">
        <f t="shared" ref="K203:S203" si="314">K236</f>
        <v>131.58935886096666</v>
      </c>
      <c r="L203" s="30">
        <f t="shared" si="314"/>
        <v>140.3706548204442</v>
      </c>
      <c r="M203" s="30">
        <f t="shared" si="314"/>
        <v>148.93111709154968</v>
      </c>
      <c r="N203" s="30">
        <f t="shared" si="314"/>
        <v>149.91649118854033</v>
      </c>
      <c r="O203" s="30">
        <f t="shared" si="314"/>
        <v>149.7865014388255</v>
      </c>
      <c r="P203" s="30">
        <f t="shared" si="314"/>
        <v>148.50371620836074</v>
      </c>
      <c r="Q203" s="30">
        <f t="shared" si="314"/>
        <v>146.05225392233825</v>
      </c>
      <c r="R203" s="30">
        <f t="shared" si="314"/>
        <v>142.43911712086722</v>
      </c>
      <c r="S203" s="30">
        <f t="shared" si="314"/>
        <v>137.69486209301826</v>
      </c>
    </row>
    <row r="204" spans="1:19" outlineLevel="2">
      <c r="C204" t="s">
        <v>23</v>
      </c>
      <c r="I204" s="30"/>
      <c r="J204" s="30">
        <f>J243+J272</f>
        <v>132.75311983065606</v>
      </c>
      <c r="K204" s="30">
        <f t="shared" ref="K204:S204" si="315">K243+K272</f>
        <v>153.61226000206102</v>
      </c>
      <c r="L204" s="30">
        <f t="shared" si="315"/>
        <v>174.47140017346595</v>
      </c>
      <c r="M204" s="30">
        <f t="shared" si="315"/>
        <v>161.45462170786649</v>
      </c>
      <c r="N204" s="30">
        <f t="shared" si="315"/>
        <v>104.29570085702477</v>
      </c>
      <c r="O204" s="30">
        <f t="shared" si="315"/>
        <v>125.00218286292554</v>
      </c>
      <c r="P204" s="30">
        <f t="shared" si="315"/>
        <v>125.00218286292554</v>
      </c>
      <c r="Q204" s="30">
        <f t="shared" si="315"/>
        <v>125.00218286292554</v>
      </c>
      <c r="R204" s="30">
        <f t="shared" si="315"/>
        <v>125.00218286292554</v>
      </c>
      <c r="S204" s="30">
        <f t="shared" si="315"/>
        <v>125.00218286292554</v>
      </c>
    </row>
    <row r="205" spans="1:19" outlineLevel="2">
      <c r="C205" t="s">
        <v>94</v>
      </c>
      <c r="I205" s="117">
        <v>413.7</v>
      </c>
      <c r="J205" s="30">
        <f>J202+J203-J204</f>
        <v>405.94906303226946</v>
      </c>
      <c r="K205" s="30">
        <f t="shared" ref="K205:S205" si="316">K202+K203-K204</f>
        <v>383.92616189117507</v>
      </c>
      <c r="L205" s="30">
        <f t="shared" si="316"/>
        <v>349.82541653815332</v>
      </c>
      <c r="M205" s="30">
        <f t="shared" si="316"/>
        <v>337.30191192183645</v>
      </c>
      <c r="N205" s="30">
        <f t="shared" si="316"/>
        <v>382.92270225335204</v>
      </c>
      <c r="O205" s="30">
        <f t="shared" si="316"/>
        <v>407.70702082925197</v>
      </c>
      <c r="P205" s="30">
        <f t="shared" si="316"/>
        <v>431.20855417468715</v>
      </c>
      <c r="Q205" s="30">
        <f t="shared" si="316"/>
        <v>452.25862523409978</v>
      </c>
      <c r="R205" s="30">
        <f t="shared" si="316"/>
        <v>469.69555949204141</v>
      </c>
      <c r="S205" s="30">
        <f t="shared" si="316"/>
        <v>482.38823872213413</v>
      </c>
    </row>
    <row r="206" spans="1:19" outlineLevel="2"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</row>
    <row r="207" spans="1:19" outlineLevel="2">
      <c r="C207" t="s">
        <v>95</v>
      </c>
      <c r="I207" s="30"/>
      <c r="J207" s="30">
        <f>I210</f>
        <v>2046.7000000000007</v>
      </c>
      <c r="K207" s="30">
        <f t="shared" ref="K207:S207" si="317">J210</f>
        <v>1856.4500854765356</v>
      </c>
      <c r="L207" s="30">
        <f t="shared" si="317"/>
        <v>1665.7555783978748</v>
      </c>
      <c r="M207" s="30">
        <f t="shared" si="317"/>
        <v>1474.9383796809134</v>
      </c>
      <c r="N207" s="30">
        <f t="shared" si="317"/>
        <v>1283.8394501445182</v>
      </c>
      <c r="O207" s="30">
        <f t="shared" si="317"/>
        <v>1092.278408430217</v>
      </c>
      <c r="P207" s="30">
        <f t="shared" si="317"/>
        <v>900.07093941655148</v>
      </c>
      <c r="Q207" s="30">
        <f t="shared" si="317"/>
        <v>707.01805786782029</v>
      </c>
      <c r="R207" s="30">
        <f t="shared" si="317"/>
        <v>512.90797423603544</v>
      </c>
      <c r="S207" s="30">
        <f t="shared" si="317"/>
        <v>317.51838226124835</v>
      </c>
    </row>
    <row r="208" spans="1:19" outlineLevel="2">
      <c r="C208" t="s">
        <v>91</v>
      </c>
      <c r="I208" s="30"/>
      <c r="J208" s="30">
        <f>J237</f>
        <v>25.047569614085607</v>
      </c>
      <c r="K208" s="30">
        <f t="shared" ref="K208:S208" si="318">K237</f>
        <v>26.36748855943792</v>
      </c>
      <c r="L208" s="30">
        <f t="shared" si="318"/>
        <v>28.127058807007874</v>
      </c>
      <c r="M208" s="30">
        <f t="shared" si="318"/>
        <v>29.842379049850308</v>
      </c>
      <c r="N208" s="30">
        <f t="shared" si="318"/>
        <v>31.487402876689796</v>
      </c>
      <c r="O208" s="30">
        <f t="shared" si="318"/>
        <v>33.052872778385989</v>
      </c>
      <c r="P208" s="30">
        <f t="shared" si="318"/>
        <v>34.517360946261853</v>
      </c>
      <c r="Q208" s="30">
        <f t="shared" si="318"/>
        <v>35.859902397617724</v>
      </c>
      <c r="R208" s="30">
        <f t="shared" si="318"/>
        <v>37.060480218854984</v>
      </c>
      <c r="S208" s="30">
        <f t="shared" si="318"/>
        <v>38.100511794977585</v>
      </c>
    </row>
    <row r="209" spans="2:19" outlineLevel="2">
      <c r="C209" t="s">
        <v>24</v>
      </c>
      <c r="I209" s="30"/>
      <c r="J209" s="30">
        <f>J244+J285</f>
        <v>215.29748413755073</v>
      </c>
      <c r="K209" s="30">
        <f t="shared" ref="K209:S209" si="319">K244+K285</f>
        <v>217.06199563809881</v>
      </c>
      <c r="L209" s="30">
        <f t="shared" si="319"/>
        <v>218.94425752396938</v>
      </c>
      <c r="M209" s="30">
        <f t="shared" si="319"/>
        <v>220.94130858624538</v>
      </c>
      <c r="N209" s="30">
        <f t="shared" si="319"/>
        <v>223.04844459099104</v>
      </c>
      <c r="O209" s="30">
        <f t="shared" si="319"/>
        <v>225.26034179205152</v>
      </c>
      <c r="P209" s="30">
        <f t="shared" si="319"/>
        <v>227.57024249499307</v>
      </c>
      <c r="Q209" s="30">
        <f t="shared" si="319"/>
        <v>229.96998602940261</v>
      </c>
      <c r="R209" s="30">
        <f t="shared" si="319"/>
        <v>232.45007219364211</v>
      </c>
      <c r="S209" s="30">
        <f t="shared" si="319"/>
        <v>145.48674152722327</v>
      </c>
    </row>
    <row r="210" spans="2:19" outlineLevel="2">
      <c r="C210" t="s">
        <v>96</v>
      </c>
      <c r="G210" s="30"/>
      <c r="I210" s="117">
        <v>2046.7000000000007</v>
      </c>
      <c r="J210" s="30">
        <f>J207+J208-J209</f>
        <v>1856.4500854765356</v>
      </c>
      <c r="K210" s="30">
        <f t="shared" ref="K210:S210" si="320">K207+K208-K209</f>
        <v>1665.7555783978748</v>
      </c>
      <c r="L210" s="30">
        <f t="shared" si="320"/>
        <v>1474.9383796809134</v>
      </c>
      <c r="M210" s="30">
        <f t="shared" si="320"/>
        <v>1283.8394501445182</v>
      </c>
      <c r="N210" s="30">
        <f t="shared" si="320"/>
        <v>1092.278408430217</v>
      </c>
      <c r="O210" s="30">
        <f t="shared" si="320"/>
        <v>900.07093941655148</v>
      </c>
      <c r="P210" s="30">
        <f t="shared" si="320"/>
        <v>707.01805786782029</v>
      </c>
      <c r="Q210" s="30">
        <f t="shared" si="320"/>
        <v>512.90797423603544</v>
      </c>
      <c r="R210" s="30">
        <f t="shared" si="320"/>
        <v>317.51838226124835</v>
      </c>
      <c r="S210" s="30">
        <f t="shared" si="320"/>
        <v>210.13215252900267</v>
      </c>
    </row>
    <row r="211" spans="2:19" outlineLevel="2"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</row>
    <row r="212" spans="2:19" outlineLevel="2">
      <c r="C212" t="s">
        <v>97</v>
      </c>
      <c r="G212" s="70"/>
      <c r="I212" s="30"/>
      <c r="J212" s="30">
        <f>I215</f>
        <v>6569.4</v>
      </c>
      <c r="K212" s="30">
        <f t="shared" ref="K212:S212" si="321">J215</f>
        <v>6823.1801999999998</v>
      </c>
      <c r="L212" s="30">
        <f t="shared" si="321"/>
        <v>7140.2178320169478</v>
      </c>
      <c r="M212" s="30">
        <f t="shared" si="321"/>
        <v>7473.9622337259725</v>
      </c>
      <c r="N212" s="30">
        <f t="shared" si="321"/>
        <v>7829.9782567240882</v>
      </c>
      <c r="O212" s="30">
        <f t="shared" si="321"/>
        <v>8207.7058100750601</v>
      </c>
      <c r="P212" s="30">
        <f t="shared" si="321"/>
        <v>8549.091271254978</v>
      </c>
      <c r="Q212" s="30">
        <f t="shared" si="321"/>
        <v>8847.7231363260053</v>
      </c>
      <c r="R212" s="30">
        <f t="shared" si="321"/>
        <v>9066.0275712257408</v>
      </c>
      <c r="S212" s="30">
        <f t="shared" si="321"/>
        <v>9163.2255631164953</v>
      </c>
    </row>
    <row r="213" spans="2:19" outlineLevel="2">
      <c r="C213" t="s">
        <v>98</v>
      </c>
      <c r="I213" s="30"/>
      <c r="J213" s="30">
        <f>Assumptions!J37</f>
        <v>253.78019999999998</v>
      </c>
      <c r="K213" s="30">
        <f>Assumptions!K37</f>
        <v>317.03763201694773</v>
      </c>
      <c r="L213" s="30">
        <f>Assumptions!L37</f>
        <v>333.74440170902511</v>
      </c>
      <c r="M213" s="30">
        <f>Assumptions!M37</f>
        <v>356.01602299811589</v>
      </c>
      <c r="N213" s="30">
        <f>Assumptions!N37</f>
        <v>377.72755335097219</v>
      </c>
      <c r="O213" s="30">
        <f>Assumptions!O37</f>
        <v>341.38546117991785</v>
      </c>
      <c r="P213" s="30">
        <f>Assumptions!P37</f>
        <v>298.63186507102751</v>
      </c>
      <c r="Q213" s="30">
        <f>Assumptions!Q37</f>
        <v>218.30443489973592</v>
      </c>
      <c r="R213" s="30">
        <f>Assumptions!R37</f>
        <v>97.197991890753784</v>
      </c>
      <c r="S213" s="30">
        <f>Assumptions!S37</f>
        <v>0</v>
      </c>
    </row>
    <row r="214" spans="2:19" outlineLevel="2">
      <c r="C214" t="s">
        <v>24</v>
      </c>
      <c r="I214" s="30"/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</row>
    <row r="215" spans="2:19" outlineLevel="2">
      <c r="C215" t="s">
        <v>99</v>
      </c>
      <c r="I215" s="117">
        <v>6569.4</v>
      </c>
      <c r="J215" s="30">
        <f>J212+J213-J214</f>
        <v>6823.1801999999998</v>
      </c>
      <c r="K215" s="30">
        <f t="shared" ref="K215:S215" si="322">K212+K213-K214</f>
        <v>7140.2178320169478</v>
      </c>
      <c r="L215" s="30">
        <f t="shared" si="322"/>
        <v>7473.9622337259725</v>
      </c>
      <c r="M215" s="30">
        <f t="shared" si="322"/>
        <v>7829.9782567240882</v>
      </c>
      <c r="N215" s="30">
        <f t="shared" si="322"/>
        <v>8207.7058100750601</v>
      </c>
      <c r="O215" s="30">
        <f t="shared" si="322"/>
        <v>8549.091271254978</v>
      </c>
      <c r="P215" s="30">
        <f t="shared" si="322"/>
        <v>8847.7231363260053</v>
      </c>
      <c r="Q215" s="30">
        <f t="shared" si="322"/>
        <v>9066.0275712257408</v>
      </c>
      <c r="R215" s="30">
        <f t="shared" si="322"/>
        <v>9163.2255631164953</v>
      </c>
      <c r="S215" s="30">
        <f t="shared" si="322"/>
        <v>9163.2255631164953</v>
      </c>
    </row>
    <row r="216" spans="2:19">
      <c r="I216" s="71"/>
      <c r="J216" s="70"/>
      <c r="K216" s="70"/>
      <c r="L216" s="70"/>
      <c r="M216" s="70"/>
      <c r="N216" s="70"/>
      <c r="O216" s="70"/>
      <c r="P216" s="70"/>
      <c r="Q216" s="70"/>
      <c r="R216" s="70"/>
      <c r="S216" s="70"/>
    </row>
    <row r="217" spans="2:19" outlineLevel="1">
      <c r="B217" t="s">
        <v>0</v>
      </c>
      <c r="C217" s="200" t="s">
        <v>100</v>
      </c>
      <c r="D217" s="200"/>
      <c r="E217" s="201">
        <v>2020</v>
      </c>
      <c r="F217" s="201">
        <f>E217+1</f>
        <v>2021</v>
      </c>
      <c r="G217" s="201">
        <f t="shared" ref="G217" si="323">F217+1</f>
        <v>2022</v>
      </c>
      <c r="H217" s="201">
        <f t="shared" ref="H217" si="324">G217+1</f>
        <v>2023</v>
      </c>
      <c r="I217" s="201">
        <f t="shared" ref="I217" si="325">H217+1</f>
        <v>2024</v>
      </c>
      <c r="J217" s="202">
        <f t="shared" ref="J217" si="326">I217+1</f>
        <v>2025</v>
      </c>
      <c r="K217" s="202">
        <f t="shared" ref="K217" si="327">J217+1</f>
        <v>2026</v>
      </c>
      <c r="L217" s="202">
        <f t="shared" ref="L217" si="328">K217+1</f>
        <v>2027</v>
      </c>
      <c r="M217" s="202">
        <f t="shared" ref="M217" si="329">L217+1</f>
        <v>2028</v>
      </c>
      <c r="N217" s="202">
        <f t="shared" ref="N217" si="330">M217+1</f>
        <v>2029</v>
      </c>
      <c r="O217" s="202">
        <f t="shared" ref="O217" si="331">N217+1</f>
        <v>2030</v>
      </c>
      <c r="P217" s="202">
        <f t="shared" ref="P217" si="332">O217+1</f>
        <v>2031</v>
      </c>
      <c r="Q217" s="202">
        <f t="shared" ref="Q217" si="333">P217+1</f>
        <v>2032</v>
      </c>
      <c r="R217" s="202">
        <f t="shared" ref="R217" si="334">Q217+1</f>
        <v>2033</v>
      </c>
      <c r="S217" s="202">
        <f t="shared" ref="S217" si="335">R217+1</f>
        <v>2034</v>
      </c>
    </row>
    <row r="218" spans="2:19" outlineLevel="1">
      <c r="I218" s="71"/>
      <c r="J218" s="70"/>
      <c r="K218" s="70"/>
      <c r="L218" s="70"/>
      <c r="M218" s="70"/>
      <c r="N218" s="70"/>
      <c r="O218" s="70"/>
      <c r="P218" s="70"/>
      <c r="Q218" s="70"/>
      <c r="R218" s="70"/>
      <c r="S218" s="70"/>
    </row>
    <row r="219" spans="2:19" outlineLevel="1">
      <c r="C219" s="80" t="s">
        <v>101</v>
      </c>
      <c r="D219" s="122"/>
      <c r="I219" s="71"/>
      <c r="J219" s="70"/>
      <c r="K219" s="70"/>
      <c r="L219" s="70"/>
      <c r="M219" s="70"/>
      <c r="N219" s="70"/>
      <c r="O219" s="70"/>
      <c r="P219" s="70"/>
      <c r="Q219" s="70"/>
      <c r="R219" s="70"/>
      <c r="S219" s="70"/>
    </row>
    <row r="220" spans="2:19" outlineLevel="1">
      <c r="C220" s="128" t="s">
        <v>102</v>
      </c>
      <c r="D220" s="123"/>
      <c r="I220" s="71"/>
      <c r="J220" s="70"/>
      <c r="K220" s="70"/>
      <c r="L220" s="70"/>
      <c r="M220" s="70"/>
      <c r="N220" s="70"/>
      <c r="O220" s="70"/>
      <c r="P220" s="70"/>
      <c r="Q220" s="70"/>
      <c r="R220" s="70"/>
      <c r="S220" s="70"/>
    </row>
    <row r="221" spans="2:19" outlineLevel="1">
      <c r="C221" s="124" t="s">
        <v>103</v>
      </c>
      <c r="D221" s="125">
        <f>'Asset Life'!C11</f>
        <v>20.034796268931665</v>
      </c>
      <c r="I221" s="71"/>
      <c r="J221" s="70"/>
      <c r="K221" s="70"/>
      <c r="L221" s="70"/>
      <c r="M221" s="70"/>
      <c r="N221" s="70"/>
      <c r="O221" s="70"/>
      <c r="P221" s="70"/>
      <c r="Q221" s="70"/>
      <c r="R221" s="70"/>
      <c r="S221" s="70"/>
    </row>
    <row r="222" spans="2:19" outlineLevel="1">
      <c r="C222" s="124" t="s">
        <v>104</v>
      </c>
      <c r="D222" s="125">
        <f>'Asset Life'!C23</f>
        <v>5.992681473720884</v>
      </c>
      <c r="I222" s="71"/>
      <c r="J222" s="70"/>
      <c r="K222" s="70"/>
      <c r="L222" s="70"/>
      <c r="M222" s="70"/>
      <c r="N222" s="70"/>
      <c r="O222" s="70"/>
      <c r="P222" s="70"/>
      <c r="Q222" s="70"/>
      <c r="R222" s="70"/>
      <c r="S222" s="70"/>
    </row>
    <row r="223" spans="2:19" outlineLevel="1">
      <c r="C223" s="124" t="s">
        <v>105</v>
      </c>
      <c r="D223" s="125">
        <f>'Asset Life'!C35</f>
        <v>14.943222841702971</v>
      </c>
      <c r="I223" s="71"/>
      <c r="J223" s="70"/>
      <c r="K223" s="70"/>
      <c r="L223" s="70"/>
      <c r="M223" s="70"/>
      <c r="N223" s="70"/>
      <c r="O223" s="70"/>
      <c r="P223" s="70"/>
      <c r="Q223" s="70"/>
      <c r="R223" s="70"/>
      <c r="S223" s="70"/>
    </row>
    <row r="224" spans="2:19" outlineLevel="1">
      <c r="C224" s="127" t="s">
        <v>106</v>
      </c>
      <c r="D224" s="123"/>
      <c r="I224" s="71"/>
      <c r="J224" s="70"/>
      <c r="K224" s="70"/>
      <c r="L224" s="70"/>
      <c r="M224" s="70"/>
      <c r="N224" s="70"/>
      <c r="O224" s="70"/>
      <c r="P224" s="70"/>
      <c r="Q224" s="70"/>
      <c r="R224" s="70"/>
      <c r="S224" s="70"/>
    </row>
    <row r="225" spans="3:19" outlineLevel="1">
      <c r="C225" s="124" t="s">
        <v>103</v>
      </c>
      <c r="D225" s="125">
        <f>'Asset Life'!C12</f>
        <v>11.215761624424708</v>
      </c>
      <c r="I225" s="71"/>
      <c r="J225" s="70"/>
      <c r="K225" s="70"/>
      <c r="L225" s="70"/>
      <c r="M225" s="70"/>
      <c r="N225" s="70"/>
      <c r="O225" s="70"/>
      <c r="P225" s="70"/>
      <c r="Q225" s="70"/>
      <c r="R225" s="70"/>
      <c r="S225" s="70"/>
    </row>
    <row r="226" spans="3:19" outlineLevel="1">
      <c r="C226" s="124" t="s">
        <v>104</v>
      </c>
      <c r="D226" s="125">
        <f>'Asset Life'!C24</f>
        <v>2.295431619351294</v>
      </c>
      <c r="I226" s="71"/>
      <c r="J226" s="70"/>
      <c r="K226" s="70"/>
      <c r="L226" s="70"/>
      <c r="M226" s="70"/>
      <c r="N226" s="70"/>
      <c r="O226" s="70"/>
      <c r="P226" s="70"/>
      <c r="Q226" s="70"/>
      <c r="R226" s="70"/>
      <c r="S226" s="70"/>
    </row>
    <row r="227" spans="3:19" outlineLevel="1">
      <c r="C227" s="126" t="s">
        <v>105</v>
      </c>
      <c r="D227" s="121">
        <f>'Asset Life'!C36</f>
        <v>5.3622494792738289</v>
      </c>
      <c r="I227" s="71"/>
      <c r="J227" s="70"/>
      <c r="K227" s="70"/>
      <c r="L227" s="70"/>
      <c r="M227" s="70"/>
      <c r="N227" s="70"/>
      <c r="O227" s="70"/>
      <c r="P227" s="70"/>
      <c r="Q227" s="70"/>
      <c r="R227" s="70"/>
      <c r="S227" s="70"/>
    </row>
    <row r="228" spans="3:19" outlineLevel="1">
      <c r="I228" s="71"/>
      <c r="J228" s="70"/>
      <c r="K228" s="70"/>
      <c r="L228" s="70"/>
      <c r="M228" s="70"/>
      <c r="N228" s="70"/>
      <c r="O228" s="70"/>
      <c r="P228" s="70"/>
      <c r="Q228" s="70"/>
      <c r="R228" s="70"/>
      <c r="S228" s="70"/>
    </row>
    <row r="229" spans="3:19" outlineLevel="1">
      <c r="C229" s="131" t="s">
        <v>107</v>
      </c>
      <c r="D229" s="51"/>
      <c r="E229" s="51"/>
      <c r="F229" s="51"/>
      <c r="G229" s="122"/>
      <c r="I229" s="71"/>
      <c r="J229" s="70"/>
      <c r="K229" s="70"/>
      <c r="L229" s="70"/>
      <c r="M229" s="70"/>
      <c r="N229" s="70"/>
      <c r="O229" s="70"/>
      <c r="P229" s="70"/>
      <c r="Q229" s="70"/>
      <c r="R229" s="70"/>
      <c r="S229" s="70"/>
    </row>
    <row r="230" spans="3:19" outlineLevel="1">
      <c r="C230" s="124" t="s">
        <v>103</v>
      </c>
      <c r="G230" s="129">
        <v>2044.8</v>
      </c>
    </row>
    <row r="231" spans="3:19" outlineLevel="1">
      <c r="C231" s="124" t="s">
        <v>104</v>
      </c>
      <c r="G231" s="129">
        <v>413.7</v>
      </c>
    </row>
    <row r="232" spans="3:19" outlineLevel="1">
      <c r="C232" s="126" t="s">
        <v>108</v>
      </c>
      <c r="D232" s="54"/>
      <c r="E232" s="54"/>
      <c r="F232" s="54"/>
      <c r="G232" s="130">
        <v>2046.7000000000007</v>
      </c>
    </row>
    <row r="233" spans="3:19" outlineLevel="1">
      <c r="I233" s="71"/>
      <c r="J233" s="70"/>
      <c r="K233" s="70"/>
      <c r="L233" s="70"/>
      <c r="M233" s="70"/>
      <c r="N233" s="70"/>
      <c r="O233" s="70"/>
      <c r="P233" s="70"/>
      <c r="Q233" s="70"/>
      <c r="R233" s="70"/>
      <c r="S233" s="70"/>
    </row>
    <row r="234" spans="3:19" outlineLevel="1">
      <c r="C234" s="132" t="s">
        <v>109</v>
      </c>
      <c r="I234" s="71"/>
      <c r="J234" s="70"/>
      <c r="K234" s="70"/>
      <c r="L234" s="70"/>
      <c r="M234" s="70"/>
      <c r="N234" s="70"/>
      <c r="O234" s="70"/>
      <c r="P234" s="70"/>
      <c r="Q234" s="70"/>
      <c r="R234" s="70"/>
      <c r="S234" s="70"/>
    </row>
    <row r="235" spans="3:19" outlineLevel="1">
      <c r="C235" s="29" t="s">
        <v>103</v>
      </c>
      <c r="I235" s="71"/>
      <c r="J235" s="30">
        <f>Assumptions!J135</f>
        <v>373.20623181544397</v>
      </c>
      <c r="K235" s="30">
        <f>Assumptions!K135</f>
        <v>391.09438297718964</v>
      </c>
      <c r="L235" s="30">
        <f>Assumptions!L135</f>
        <v>414.94089164279575</v>
      </c>
      <c r="M235" s="30">
        <f>Assumptions!M135</f>
        <v>438.18770380714238</v>
      </c>
      <c r="N235" s="30">
        <f>Assumptions!N135</f>
        <v>426.73182647489728</v>
      </c>
      <c r="O235" s="30">
        <f>Assumptions!O135</f>
        <v>447.9477976065412</v>
      </c>
      <c r="P235" s="30">
        <f>Assumptions!P135</f>
        <v>417.11740239770972</v>
      </c>
      <c r="Q235" s="30">
        <f>Assumptions!Q135</f>
        <v>380.69213490545229</v>
      </c>
      <c r="R235" s="30">
        <f>Assumptions!R135</f>
        <v>339.0260025934752</v>
      </c>
      <c r="S235" s="30">
        <f>Assumptions!S135</f>
        <v>292.60158194766382</v>
      </c>
    </row>
    <row r="236" spans="3:19" outlineLevel="1">
      <c r="C236" s="29" t="s">
        <v>104</v>
      </c>
      <c r="I236" s="71"/>
      <c r="J236" s="30">
        <f>Assumptions!J137</f>
        <v>125.00218286292552</v>
      </c>
      <c r="K236" s="30">
        <f>Assumptions!K137</f>
        <v>131.58935886096666</v>
      </c>
      <c r="L236" s="30">
        <f>Assumptions!L137</f>
        <v>140.3706548204442</v>
      </c>
      <c r="M236" s="30">
        <f>Assumptions!M137</f>
        <v>148.93111709154968</v>
      </c>
      <c r="N236" s="30">
        <f>Assumptions!N137</f>
        <v>149.91649118854033</v>
      </c>
      <c r="O236" s="30">
        <f>Assumptions!O137</f>
        <v>149.7865014388255</v>
      </c>
      <c r="P236" s="30">
        <f>Assumptions!P137</f>
        <v>148.50371620836074</v>
      </c>
      <c r="Q236" s="30">
        <f>Assumptions!Q137</f>
        <v>146.05225392233825</v>
      </c>
      <c r="R236" s="30">
        <f>Assumptions!R137</f>
        <v>142.43911712086722</v>
      </c>
      <c r="S236" s="30">
        <f>Assumptions!S137</f>
        <v>137.69486209301826</v>
      </c>
    </row>
    <row r="237" spans="3:19" outlineLevel="1">
      <c r="C237" s="29" t="s">
        <v>110</v>
      </c>
      <c r="I237" s="71"/>
      <c r="J237" s="30">
        <f>Assumptions!J139</f>
        <v>25.047569614085607</v>
      </c>
      <c r="K237" s="30">
        <f>Assumptions!K139</f>
        <v>26.36748855943792</v>
      </c>
      <c r="L237" s="30">
        <f>Assumptions!L139</f>
        <v>28.127058807007874</v>
      </c>
      <c r="M237" s="30">
        <f>Assumptions!M139</f>
        <v>29.842379049850308</v>
      </c>
      <c r="N237" s="30">
        <f>Assumptions!N139</f>
        <v>31.487402876689796</v>
      </c>
      <c r="O237" s="30">
        <f>Assumptions!O139</f>
        <v>33.052872778385989</v>
      </c>
      <c r="P237" s="30">
        <f>Assumptions!P139</f>
        <v>34.517360946261853</v>
      </c>
      <c r="Q237" s="30">
        <f>Assumptions!Q139</f>
        <v>35.859902397617724</v>
      </c>
      <c r="R237" s="30">
        <f>Assumptions!R139</f>
        <v>37.060480218854984</v>
      </c>
      <c r="S237" s="30">
        <f>Assumptions!S139</f>
        <v>38.100511794977585</v>
      </c>
    </row>
    <row r="238" spans="3:19" outlineLevel="1">
      <c r="C238" s="138" t="s">
        <v>111</v>
      </c>
      <c r="D238" s="49"/>
      <c r="E238" s="49"/>
      <c r="F238" s="49"/>
      <c r="G238" s="49"/>
      <c r="H238" s="49"/>
      <c r="I238" s="140"/>
      <c r="J238" s="52">
        <f>SUM(J235:J237)</f>
        <v>523.25598429245508</v>
      </c>
      <c r="K238" s="52">
        <f t="shared" ref="K238:S238" si="336">SUM(K235:K237)</f>
        <v>549.05123039759417</v>
      </c>
      <c r="L238" s="52">
        <f t="shared" si="336"/>
        <v>583.43860527024776</v>
      </c>
      <c r="M238" s="52">
        <f t="shared" si="336"/>
        <v>616.96119994854234</v>
      </c>
      <c r="N238" s="52">
        <f t="shared" si="336"/>
        <v>608.13572054012741</v>
      </c>
      <c r="O238" s="52">
        <f t="shared" si="336"/>
        <v>630.78717182375271</v>
      </c>
      <c r="P238" s="52">
        <f t="shared" si="336"/>
        <v>600.13847955233234</v>
      </c>
      <c r="Q238" s="52">
        <f t="shared" si="336"/>
        <v>562.60429122540825</v>
      </c>
      <c r="R238" s="52">
        <f t="shared" si="336"/>
        <v>518.52559993319744</v>
      </c>
      <c r="S238" s="52">
        <f t="shared" si="336"/>
        <v>468.3969558356597</v>
      </c>
    </row>
    <row r="239" spans="3:19" outlineLevel="1">
      <c r="C239" s="75" t="s">
        <v>112</v>
      </c>
      <c r="D239" s="7"/>
      <c r="E239" s="7"/>
      <c r="F239" s="7"/>
      <c r="G239" s="7"/>
      <c r="H239" s="7"/>
      <c r="I239" s="139"/>
      <c r="J239" s="112">
        <f t="shared" ref="J239:S239" si="337">J238/J24</f>
        <v>4.6243603909761732E-2</v>
      </c>
      <c r="K239" s="112">
        <f t="shared" si="337"/>
        <v>4.6094293618655399E-2</v>
      </c>
      <c r="L239" s="112">
        <f t="shared" si="337"/>
        <v>4.5917041938423844E-2</v>
      </c>
      <c r="M239" s="112">
        <f t="shared" si="337"/>
        <v>4.5764368218454421E-2</v>
      </c>
      <c r="N239" s="112">
        <f t="shared" si="337"/>
        <v>4.2753013682885067E-2</v>
      </c>
      <c r="O239" s="112">
        <f t="shared" si="337"/>
        <v>4.2245134937206011E-2</v>
      </c>
      <c r="P239" s="112">
        <f t="shared" si="337"/>
        <v>3.8487256191526945E-2</v>
      </c>
      <c r="Q239" s="112">
        <f t="shared" si="337"/>
        <v>3.4729377445847878E-2</v>
      </c>
      <c r="R239" s="112">
        <f t="shared" si="337"/>
        <v>3.0971498700168822E-2</v>
      </c>
      <c r="S239" s="112">
        <f t="shared" si="337"/>
        <v>2.7213619954489763E-2</v>
      </c>
    </row>
    <row r="240" spans="3:19" outlineLevel="1">
      <c r="I240" s="71"/>
      <c r="J240" s="70"/>
      <c r="K240" s="70"/>
      <c r="L240" s="70"/>
      <c r="M240" s="70"/>
      <c r="N240" s="70"/>
      <c r="O240" s="70"/>
      <c r="P240" s="70"/>
      <c r="Q240" s="70"/>
      <c r="R240" s="70"/>
      <c r="S240" s="70"/>
    </row>
    <row r="241" spans="3:20" outlineLevel="1">
      <c r="C241" s="132" t="s">
        <v>113</v>
      </c>
    </row>
    <row r="242" spans="3:20" outlineLevel="1">
      <c r="C242" s="29" t="s">
        <v>103</v>
      </c>
      <c r="J242" s="30">
        <f>MIN($G230/($D221-$D225),$G230)</f>
        <v>231.86211217274541</v>
      </c>
      <c r="K242" s="30">
        <f>MIN($G230/($D221-$D225),$G230-SUM(J242))</f>
        <v>231.86211217274541</v>
      </c>
      <c r="L242" s="30">
        <f>MIN($G230/($D221-$D225),$G230-SUM(J242:K242))</f>
        <v>231.86211217274541</v>
      </c>
      <c r="M242" s="30">
        <f>MIN($G230/($D221-$D225),$G230-SUM(J242:L242))</f>
        <v>231.86211217274541</v>
      </c>
      <c r="N242" s="30">
        <f>MIN($G230/($D221-$D225),$G230-SUM(J242:M242))</f>
        <v>231.86211217274541</v>
      </c>
      <c r="O242" s="30">
        <f>MIN($G230/($D221-$D225),$G230-SUM(J242:N242))</f>
        <v>231.86211217274541</v>
      </c>
      <c r="P242" s="30">
        <f>MIN($G230/($D221-$D225),$G230-SUM(J242:O242))</f>
        <v>231.86211217274541</v>
      </c>
      <c r="Q242" s="30">
        <f>MIN($G230/($D221-$D225),$G230-SUM(J242:P242))</f>
        <v>231.86211217274541</v>
      </c>
      <c r="R242" s="30">
        <f>MIN($G230/($D221-$D225),$G230-SUM(J242:Q242))</f>
        <v>189.90310261803688</v>
      </c>
      <c r="S242" s="30">
        <f>MIN($G230/($D221-$D225),$G230-SUM(J242:R242))</f>
        <v>0</v>
      </c>
      <c r="T242" s="30"/>
    </row>
    <row r="243" spans="3:20" outlineLevel="1">
      <c r="C243" s="29" t="s">
        <v>104</v>
      </c>
      <c r="J243" s="30">
        <f>MIN($G231/($D222-$D226),$G231)</f>
        <v>111.8939796592511</v>
      </c>
      <c r="K243" s="30">
        <f>MIN($G231/($D222-$D226),$G231-SUM(J243))</f>
        <v>111.8939796592511</v>
      </c>
      <c r="L243" s="30">
        <f>MIN($G231/($D222-$D226),$G231-SUM(J243:K243))</f>
        <v>111.8939796592511</v>
      </c>
      <c r="M243" s="30">
        <f>MIN($G231/($D222-$D226),$G231-SUM(J243:L243))</f>
        <v>78.018061022246684</v>
      </c>
      <c r="N243" s="30">
        <f>MIN($G231/($D222-$D226),$G231-SUM(J243:M243))</f>
        <v>0</v>
      </c>
      <c r="O243" s="30">
        <f>MIN($G231/($D222-$D226),$G231-SUM(J243:N243))</f>
        <v>0</v>
      </c>
      <c r="P243" s="30">
        <f>MIN($G231/($D222-$D226),$G231-SUM(J243:O243))</f>
        <v>0</v>
      </c>
      <c r="Q243" s="30">
        <f>MIN($G231/($D222-$D226),$G231-SUM(J243:P243))</f>
        <v>0</v>
      </c>
      <c r="R243" s="30">
        <f>MIN($G231/($D222-$D226),$G231-SUM(J243:Q243))</f>
        <v>0</v>
      </c>
      <c r="S243" s="30">
        <f>MIN($G231/($D222-$D226),$G231-SUM(J243:R243))</f>
        <v>0</v>
      </c>
      <c r="T243" s="30"/>
    </row>
    <row r="244" spans="3:20" outlineLevel="1">
      <c r="C244" s="29" t="s">
        <v>110</v>
      </c>
      <c r="J244" s="30">
        <f>MIN($G232/($D223-$D227),$G232)</f>
        <v>213.62130157108427</v>
      </c>
      <c r="K244" s="30">
        <f>MIN($G232/($D223-$D227),$G232-SUM(J244))</f>
        <v>213.62130157108427</v>
      </c>
      <c r="L244" s="30">
        <f>MIN($G232/($D223-$D227),$G232-SUM(J244:K244))</f>
        <v>213.62130157108427</v>
      </c>
      <c r="M244" s="30">
        <f>MIN($G232/($D223-$D227),$G232-SUM(J244:L244))</f>
        <v>213.62130157108427</v>
      </c>
      <c r="N244" s="30">
        <f>MIN($G232/($D223-$D227),$G232-SUM(J244:M244))</f>
        <v>213.62130157108427</v>
      </c>
      <c r="O244" s="30">
        <f>MIN($G232/($D223-$D227),$G232-SUM(J244:N244))</f>
        <v>213.62130157108427</v>
      </c>
      <c r="P244" s="30">
        <f>MIN($G232/($D223-$D227),$G232-SUM(J244:O244))</f>
        <v>213.62130157108427</v>
      </c>
      <c r="Q244" s="30">
        <f>MIN($G232/($D223-$D227),$G232-SUM(J244:P244))</f>
        <v>213.62130157108427</v>
      </c>
      <c r="R244" s="30">
        <f>MIN($G232/($D223-$D227),$G232-SUM(J244:Q244))</f>
        <v>213.62130157108427</v>
      </c>
      <c r="S244" s="30">
        <f>MIN($G232/($D223-$D227),$G232-SUM(J244:R244))</f>
        <v>124.10828586024195</v>
      </c>
    </row>
    <row r="245" spans="3:20" outlineLevel="1">
      <c r="C245" s="138" t="s">
        <v>111</v>
      </c>
      <c r="D245" s="51"/>
      <c r="E245" s="51"/>
      <c r="F245" s="51"/>
      <c r="G245" s="51"/>
      <c r="H245" s="51"/>
      <c r="I245" s="51"/>
      <c r="J245" s="52">
        <f>SUM(J242:J244)</f>
        <v>557.37739340308076</v>
      </c>
      <c r="K245" s="52">
        <f t="shared" ref="K245:S245" si="338">SUM(K242:K244)</f>
        <v>557.37739340308076</v>
      </c>
      <c r="L245" s="52">
        <f t="shared" si="338"/>
        <v>557.37739340308076</v>
      </c>
      <c r="M245" s="52">
        <f t="shared" si="338"/>
        <v>523.5014747660764</v>
      </c>
      <c r="N245" s="52">
        <f t="shared" si="338"/>
        <v>445.48341374382971</v>
      </c>
      <c r="O245" s="52">
        <f t="shared" si="338"/>
        <v>445.48341374382971</v>
      </c>
      <c r="P245" s="52">
        <f t="shared" si="338"/>
        <v>445.48341374382971</v>
      </c>
      <c r="Q245" s="52">
        <f t="shared" si="338"/>
        <v>445.48341374382971</v>
      </c>
      <c r="R245" s="52">
        <f t="shared" si="338"/>
        <v>403.52440418912113</v>
      </c>
      <c r="S245" s="52">
        <f t="shared" si="338"/>
        <v>124.10828586024195</v>
      </c>
    </row>
    <row r="246" spans="3:20" outlineLevel="1">
      <c r="C246" s="108"/>
      <c r="J246" s="48"/>
      <c r="K246" s="48"/>
      <c r="L246" s="48"/>
      <c r="M246" s="48"/>
      <c r="N246" s="48"/>
      <c r="O246" s="48"/>
      <c r="P246" s="48"/>
      <c r="Q246" s="48"/>
      <c r="R246" s="48"/>
      <c r="S246" s="48"/>
    </row>
    <row r="247" spans="3:20" outlineLevel="1">
      <c r="I247" s="71"/>
      <c r="J247" s="70"/>
      <c r="K247" s="70"/>
      <c r="L247" s="70"/>
      <c r="M247" s="70"/>
      <c r="N247" s="70"/>
      <c r="O247" s="70"/>
      <c r="P247" s="70"/>
      <c r="Q247" s="70"/>
      <c r="R247" s="70"/>
      <c r="S247" s="70"/>
    </row>
    <row r="248" spans="3:20" outlineLevel="1">
      <c r="C248" s="132" t="s">
        <v>114</v>
      </c>
      <c r="I248" s="71"/>
      <c r="J248" s="70"/>
      <c r="K248" s="70"/>
      <c r="L248" s="70"/>
      <c r="M248" s="70"/>
      <c r="N248" s="70"/>
      <c r="O248" s="70"/>
      <c r="P248" s="70"/>
      <c r="Q248" s="70"/>
      <c r="R248" s="70"/>
      <c r="S248" s="70"/>
    </row>
    <row r="249" spans="3:20" outlineLevel="1">
      <c r="C249" s="28" t="s">
        <v>115</v>
      </c>
      <c r="I249" s="71"/>
      <c r="J249" s="30">
        <f>$J$235/$D$221</f>
        <v>18.6279025154941</v>
      </c>
      <c r="K249" s="30">
        <f t="shared" ref="K249:S249" si="339">$J$235/$D$221</f>
        <v>18.6279025154941</v>
      </c>
      <c r="L249" s="30">
        <f t="shared" si="339"/>
        <v>18.6279025154941</v>
      </c>
      <c r="M249" s="30">
        <f t="shared" si="339"/>
        <v>18.6279025154941</v>
      </c>
      <c r="N249" s="30">
        <f t="shared" si="339"/>
        <v>18.6279025154941</v>
      </c>
      <c r="O249" s="30">
        <f t="shared" si="339"/>
        <v>18.6279025154941</v>
      </c>
      <c r="P249" s="30">
        <f t="shared" si="339"/>
        <v>18.6279025154941</v>
      </c>
      <c r="Q249" s="30">
        <f t="shared" si="339"/>
        <v>18.6279025154941</v>
      </c>
      <c r="R249" s="30">
        <f t="shared" si="339"/>
        <v>18.6279025154941</v>
      </c>
      <c r="S249" s="30">
        <f t="shared" si="339"/>
        <v>18.6279025154941</v>
      </c>
    </row>
    <row r="250" spans="3:20" outlineLevel="1">
      <c r="C250" s="28" t="s">
        <v>116</v>
      </c>
      <c r="I250" s="71"/>
      <c r="J250" s="30"/>
      <c r="K250" s="30">
        <f>$K$235/$D$221</f>
        <v>19.520756673910732</v>
      </c>
      <c r="L250" s="30">
        <f t="shared" ref="L250:S250" si="340">$K$235/$D$221</f>
        <v>19.520756673910732</v>
      </c>
      <c r="M250" s="30">
        <f t="shared" si="340"/>
        <v>19.520756673910732</v>
      </c>
      <c r="N250" s="30">
        <f t="shared" si="340"/>
        <v>19.520756673910732</v>
      </c>
      <c r="O250" s="30">
        <f t="shared" si="340"/>
        <v>19.520756673910732</v>
      </c>
      <c r="P250" s="30">
        <f t="shared" si="340"/>
        <v>19.520756673910732</v>
      </c>
      <c r="Q250" s="30">
        <f t="shared" si="340"/>
        <v>19.520756673910732</v>
      </c>
      <c r="R250" s="30">
        <f t="shared" si="340"/>
        <v>19.520756673910732</v>
      </c>
      <c r="S250" s="30">
        <f t="shared" si="340"/>
        <v>19.520756673910732</v>
      </c>
    </row>
    <row r="251" spans="3:20" outlineLevel="1">
      <c r="C251" s="28" t="s">
        <v>117</v>
      </c>
      <c r="I251" s="71"/>
      <c r="J251" s="30"/>
      <c r="K251" s="30"/>
      <c r="L251" s="30">
        <f>$L$235/$D$221</f>
        <v>20.711011286211701</v>
      </c>
      <c r="M251" s="30">
        <f t="shared" ref="M251:S251" si="341">$L$235/$D$221</f>
        <v>20.711011286211701</v>
      </c>
      <c r="N251" s="30">
        <f t="shared" si="341"/>
        <v>20.711011286211701</v>
      </c>
      <c r="O251" s="30">
        <f t="shared" si="341"/>
        <v>20.711011286211701</v>
      </c>
      <c r="P251" s="30">
        <f t="shared" si="341"/>
        <v>20.711011286211701</v>
      </c>
      <c r="Q251" s="30">
        <f t="shared" si="341"/>
        <v>20.711011286211701</v>
      </c>
      <c r="R251" s="30">
        <f t="shared" si="341"/>
        <v>20.711011286211701</v>
      </c>
      <c r="S251" s="30">
        <f t="shared" si="341"/>
        <v>20.711011286211701</v>
      </c>
    </row>
    <row r="252" spans="3:20" outlineLevel="1">
      <c r="C252" s="28" t="s">
        <v>118</v>
      </c>
      <c r="I252" s="71"/>
      <c r="J252" s="30"/>
      <c r="K252" s="30"/>
      <c r="L252" s="30"/>
      <c r="M252" s="30">
        <f>$M$235/$D$221</f>
        <v>21.871333150846574</v>
      </c>
      <c r="N252" s="30">
        <f t="shared" ref="N252:S252" si="342">$M$235/$D$221</f>
        <v>21.871333150846574</v>
      </c>
      <c r="O252" s="30">
        <f t="shared" si="342"/>
        <v>21.871333150846574</v>
      </c>
      <c r="P252" s="30">
        <f t="shared" si="342"/>
        <v>21.871333150846574</v>
      </c>
      <c r="Q252" s="30">
        <f t="shared" si="342"/>
        <v>21.871333150846574</v>
      </c>
      <c r="R252" s="30">
        <f t="shared" si="342"/>
        <v>21.871333150846574</v>
      </c>
      <c r="S252" s="30">
        <f t="shared" si="342"/>
        <v>21.871333150846574</v>
      </c>
    </row>
    <row r="253" spans="3:20" outlineLevel="1">
      <c r="C253" s="28" t="s">
        <v>119</v>
      </c>
      <c r="I253" s="71"/>
      <c r="J253" s="30"/>
      <c r="K253" s="30"/>
      <c r="L253" s="30"/>
      <c r="M253" s="30"/>
      <c r="N253" s="30">
        <f>$N$235/$D$221</f>
        <v>21.299534107897983</v>
      </c>
      <c r="O253" s="30">
        <f t="shared" ref="O253:S253" si="343">$N$235/$D$221</f>
        <v>21.299534107897983</v>
      </c>
      <c r="P253" s="30">
        <f t="shared" si="343"/>
        <v>21.299534107897983</v>
      </c>
      <c r="Q253" s="30">
        <f t="shared" si="343"/>
        <v>21.299534107897983</v>
      </c>
      <c r="R253" s="30">
        <f t="shared" si="343"/>
        <v>21.299534107897983</v>
      </c>
      <c r="S253" s="30">
        <f t="shared" si="343"/>
        <v>21.299534107897983</v>
      </c>
    </row>
    <row r="254" spans="3:20" outlineLevel="1">
      <c r="C254" s="28" t="s">
        <v>120</v>
      </c>
      <c r="I254" s="71"/>
      <c r="J254" s="30"/>
      <c r="K254" s="30"/>
      <c r="L254" s="30"/>
      <c r="M254" s="30"/>
      <c r="N254" s="30"/>
      <c r="O254" s="30">
        <f>$O$235/$D$221</f>
        <v>22.35849027829558</v>
      </c>
      <c r="P254" s="30">
        <f t="shared" ref="P254:S254" si="344">$O$235/$D$221</f>
        <v>22.35849027829558</v>
      </c>
      <c r="Q254" s="30">
        <f t="shared" si="344"/>
        <v>22.35849027829558</v>
      </c>
      <c r="R254" s="30">
        <f t="shared" si="344"/>
        <v>22.35849027829558</v>
      </c>
      <c r="S254" s="30">
        <f t="shared" si="344"/>
        <v>22.35849027829558</v>
      </c>
    </row>
    <row r="255" spans="3:20" outlineLevel="1">
      <c r="C255" s="28" t="s">
        <v>121</v>
      </c>
      <c r="I255" s="71"/>
      <c r="J255" s="30"/>
      <c r="K255" s="30"/>
      <c r="L255" s="30"/>
      <c r="M255" s="30"/>
      <c r="N255" s="30"/>
      <c r="O255" s="30"/>
      <c r="P255" s="30">
        <f>$P$235/$D$221</f>
        <v>20.819647816660932</v>
      </c>
      <c r="Q255" s="30">
        <f t="shared" ref="Q255:S255" si="345">$P$235/$D$221</f>
        <v>20.819647816660932</v>
      </c>
      <c r="R255" s="30">
        <f t="shared" si="345"/>
        <v>20.819647816660932</v>
      </c>
      <c r="S255" s="30">
        <f t="shared" si="345"/>
        <v>20.819647816660932</v>
      </c>
    </row>
    <row r="256" spans="3:20" outlineLevel="1">
      <c r="C256" s="28" t="s">
        <v>122</v>
      </c>
      <c r="I256" s="71"/>
      <c r="J256" s="30"/>
      <c r="K256" s="30"/>
      <c r="L256" s="30"/>
      <c r="M256" s="30"/>
      <c r="N256" s="30"/>
      <c r="O256" s="30"/>
      <c r="P256" s="30"/>
      <c r="Q256" s="30">
        <f>$Q$235/$D$221</f>
        <v>19.001547597257016</v>
      </c>
      <c r="R256" s="30">
        <f t="shared" ref="R256:S256" si="346">$Q$235/$D$221</f>
        <v>19.001547597257016</v>
      </c>
      <c r="S256" s="30">
        <f t="shared" si="346"/>
        <v>19.001547597257016</v>
      </c>
    </row>
    <row r="257" spans="3:19" outlineLevel="1">
      <c r="C257" s="28" t="s">
        <v>123</v>
      </c>
      <c r="I257" s="71"/>
      <c r="J257" s="30"/>
      <c r="K257" s="30"/>
      <c r="L257" s="30"/>
      <c r="M257" s="30"/>
      <c r="N257" s="30"/>
      <c r="O257" s="30"/>
      <c r="P257" s="30"/>
      <c r="Q257" s="30"/>
      <c r="R257" s="30">
        <f>$R$235/$D$221</f>
        <v>16.921859251406975</v>
      </c>
      <c r="S257" s="30">
        <f>$R$235/$D$221</f>
        <v>16.921859251406975</v>
      </c>
    </row>
    <row r="258" spans="3:19" outlineLevel="1">
      <c r="C258" s="28" t="s">
        <v>124</v>
      </c>
      <c r="I258" s="71"/>
      <c r="J258" s="30"/>
      <c r="K258" s="30"/>
      <c r="L258" s="30"/>
      <c r="M258" s="30"/>
      <c r="N258" s="30"/>
      <c r="O258" s="30"/>
      <c r="P258" s="30"/>
      <c r="Q258" s="30"/>
      <c r="R258" s="30"/>
      <c r="S258" s="30">
        <f>$S$235/$D$221</f>
        <v>14.604669696662032</v>
      </c>
    </row>
    <row r="259" spans="3:19" outlineLevel="1">
      <c r="C259" s="136" t="s">
        <v>111</v>
      </c>
      <c r="D259" s="51"/>
      <c r="E259" s="51"/>
      <c r="F259" s="51"/>
      <c r="G259" s="51"/>
      <c r="H259" s="51"/>
      <c r="I259" s="137"/>
      <c r="J259" s="52">
        <f>SUM(J249:J258)</f>
        <v>18.6279025154941</v>
      </c>
      <c r="K259" s="52">
        <f t="shared" ref="K259:S259" si="347">SUM(K249:K258)</f>
        <v>38.148659189404832</v>
      </c>
      <c r="L259" s="52">
        <f t="shared" si="347"/>
        <v>58.859670475616532</v>
      </c>
      <c r="M259" s="52">
        <f t="shared" si="347"/>
        <v>80.731003626463107</v>
      </c>
      <c r="N259" s="52">
        <f t="shared" si="347"/>
        <v>102.03053773436109</v>
      </c>
      <c r="O259" s="52">
        <f t="shared" si="347"/>
        <v>124.38902801265667</v>
      </c>
      <c r="P259" s="52">
        <f t="shared" si="347"/>
        <v>145.2086758293176</v>
      </c>
      <c r="Q259" s="52">
        <f t="shared" si="347"/>
        <v>164.2102234265746</v>
      </c>
      <c r="R259" s="52">
        <f t="shared" si="347"/>
        <v>181.13208267798157</v>
      </c>
      <c r="S259" s="52">
        <f t="shared" si="347"/>
        <v>195.7367523746436</v>
      </c>
    </row>
    <row r="260" spans="3:19" outlineLevel="1">
      <c r="I260" s="71"/>
      <c r="J260" s="70"/>
      <c r="K260" s="70"/>
      <c r="L260" s="70"/>
      <c r="M260" s="70"/>
      <c r="N260" s="70"/>
      <c r="O260" s="70"/>
      <c r="P260" s="70"/>
      <c r="Q260" s="70"/>
      <c r="R260" s="70"/>
      <c r="S260" s="70"/>
    </row>
    <row r="261" spans="3:19" outlineLevel="1">
      <c r="C261" s="132" t="s">
        <v>125</v>
      </c>
      <c r="I261" s="71"/>
      <c r="J261" s="70"/>
      <c r="K261" s="70"/>
      <c r="L261" s="70"/>
      <c r="M261" s="70"/>
      <c r="N261" s="70"/>
      <c r="O261" s="70"/>
      <c r="P261" s="70"/>
      <c r="Q261" s="70"/>
      <c r="R261" s="70"/>
      <c r="S261" s="70"/>
    </row>
    <row r="262" spans="3:19" outlineLevel="1">
      <c r="C262" s="28" t="s">
        <v>126</v>
      </c>
      <c r="I262" s="71"/>
      <c r="J262" s="30">
        <f>MIN(J$236/($D$222),J$236)</f>
        <v>20.859140171404952</v>
      </c>
      <c r="K262" s="30">
        <f>MIN(J$236/($D$222),J$236-SUM(J262))</f>
        <v>20.859140171404952</v>
      </c>
      <c r="L262" s="30">
        <f>MIN(J$236/($D$222),J$236-SUM(J262:K262))</f>
        <v>20.859140171404952</v>
      </c>
      <c r="M262" s="30">
        <f>MIN(J$236/($D$222),J$236-SUM(J262:L262))</f>
        <v>20.859140171404952</v>
      </c>
      <c r="N262" s="30">
        <f>MIN(J$236/($D$222),J$236-SUM(J262:M262))</f>
        <v>20.859140171404952</v>
      </c>
      <c r="O262" s="30">
        <f t="shared" ref="O262:O267" si="348">MIN(J$236/($D$222),J$236-SUM(J262:N262))</f>
        <v>20.706482005900753</v>
      </c>
      <c r="P262" s="30">
        <f t="shared" ref="P262:P268" si="349">MIN(J$236/($D$222),J$236-SUM(J262:O262))</f>
        <v>0</v>
      </c>
      <c r="Q262" s="30">
        <f t="shared" ref="Q262:Q269" si="350">MIN(J$236/($D$222),J$236-SUM(J262:P262))</f>
        <v>0</v>
      </c>
      <c r="R262" s="30">
        <f t="shared" ref="R262:R270" si="351">MIN(J$236/($D$222),J$236-SUM(J262:Q262))</f>
        <v>0</v>
      </c>
      <c r="S262" s="30">
        <f t="shared" ref="S262:S271" si="352">MIN(J$236/($D$222),J$236-SUM(J262:R262))</f>
        <v>0</v>
      </c>
    </row>
    <row r="263" spans="3:19" outlineLevel="1">
      <c r="C263" s="28" t="s">
        <v>127</v>
      </c>
      <c r="I263" s="71"/>
      <c r="J263" s="30"/>
      <c r="K263" s="30">
        <f>MIN(J$236/($D$222),J$236-SUM(J263))</f>
        <v>20.859140171404952</v>
      </c>
      <c r="L263" s="30">
        <f>MIN(J$236/($D$222),J$236-SUM(J263:K263))</f>
        <v>20.859140171404952</v>
      </c>
      <c r="M263" s="30">
        <f>MIN(J$236/($D$222),J$236-SUM(J263:L263))</f>
        <v>20.859140171404952</v>
      </c>
      <c r="N263" s="30">
        <f>MIN(J$236/($D$222),J$236-SUM(J263:M263))</f>
        <v>20.859140171404952</v>
      </c>
      <c r="O263" s="30">
        <f t="shared" si="348"/>
        <v>20.859140171404952</v>
      </c>
      <c r="P263" s="30">
        <f t="shared" si="349"/>
        <v>20.706482005900753</v>
      </c>
      <c r="Q263" s="30">
        <f t="shared" si="350"/>
        <v>0</v>
      </c>
      <c r="R263" s="30">
        <f t="shared" si="351"/>
        <v>0</v>
      </c>
      <c r="S263" s="30">
        <f t="shared" si="352"/>
        <v>0</v>
      </c>
    </row>
    <row r="264" spans="3:19" outlineLevel="1">
      <c r="C264" s="28" t="s">
        <v>128</v>
      </c>
      <c r="I264" s="71"/>
      <c r="J264" s="30"/>
      <c r="K264" s="30"/>
      <c r="L264" s="30">
        <f>MIN(J$236/($D$222),J$236-SUM(J264:K264))</f>
        <v>20.859140171404952</v>
      </c>
      <c r="M264" s="30">
        <f>MIN(J$236/($D$222),J$236-SUM(J264:L264))</f>
        <v>20.859140171404952</v>
      </c>
      <c r="N264" s="30">
        <f>MIN(J$236/($D$222),J$236-SUM(J264:M264))</f>
        <v>20.859140171404952</v>
      </c>
      <c r="O264" s="30">
        <f t="shared" si="348"/>
        <v>20.859140171404952</v>
      </c>
      <c r="P264" s="30">
        <f t="shared" si="349"/>
        <v>20.859140171404952</v>
      </c>
      <c r="Q264" s="30">
        <f t="shared" si="350"/>
        <v>20.706482005900753</v>
      </c>
      <c r="R264" s="30">
        <f t="shared" si="351"/>
        <v>0</v>
      </c>
      <c r="S264" s="30">
        <f t="shared" si="352"/>
        <v>0</v>
      </c>
    </row>
    <row r="265" spans="3:19" outlineLevel="1">
      <c r="C265" s="28" t="s">
        <v>129</v>
      </c>
      <c r="I265" s="71"/>
      <c r="J265" s="30"/>
      <c r="K265" s="30"/>
      <c r="L265" s="30"/>
      <c r="M265" s="30">
        <f>MIN(J$236/($D$222),J$236-SUM(J265:L265))</f>
        <v>20.859140171404952</v>
      </c>
      <c r="N265" s="30">
        <f>MIN(J$236/($D$222),J$236-SUM(J265:M265))</f>
        <v>20.859140171404952</v>
      </c>
      <c r="O265" s="30">
        <f t="shared" si="348"/>
        <v>20.859140171404952</v>
      </c>
      <c r="P265" s="30">
        <f t="shared" si="349"/>
        <v>20.859140171404952</v>
      </c>
      <c r="Q265" s="30">
        <f t="shared" si="350"/>
        <v>20.859140171404952</v>
      </c>
      <c r="R265" s="30">
        <f t="shared" si="351"/>
        <v>20.706482005900753</v>
      </c>
      <c r="S265" s="30">
        <f t="shared" si="352"/>
        <v>0</v>
      </c>
    </row>
    <row r="266" spans="3:19" outlineLevel="1">
      <c r="C266" s="28" t="s">
        <v>130</v>
      </c>
      <c r="I266" s="71"/>
      <c r="J266" s="30"/>
      <c r="K266" s="30"/>
      <c r="L266" s="30"/>
      <c r="M266" s="30"/>
      <c r="N266" s="30">
        <f>MIN(J$236/($D$222),J$236-SUM(J266:M266))</f>
        <v>20.859140171404952</v>
      </c>
      <c r="O266" s="30">
        <f t="shared" si="348"/>
        <v>20.859140171404952</v>
      </c>
      <c r="P266" s="30">
        <f t="shared" si="349"/>
        <v>20.859140171404952</v>
      </c>
      <c r="Q266" s="30">
        <f t="shared" si="350"/>
        <v>20.859140171404952</v>
      </c>
      <c r="R266" s="30">
        <f t="shared" si="351"/>
        <v>20.859140171404952</v>
      </c>
      <c r="S266" s="30">
        <f t="shared" si="352"/>
        <v>20.706482005900753</v>
      </c>
    </row>
    <row r="267" spans="3:19" outlineLevel="1">
      <c r="C267" s="28" t="s">
        <v>131</v>
      </c>
      <c r="I267" s="71"/>
      <c r="J267" s="30"/>
      <c r="K267" s="30"/>
      <c r="L267" s="30"/>
      <c r="M267" s="30"/>
      <c r="N267" s="30"/>
      <c r="O267" s="30">
        <f t="shared" si="348"/>
        <v>20.859140171404952</v>
      </c>
      <c r="P267" s="30">
        <f t="shared" si="349"/>
        <v>20.859140171404952</v>
      </c>
      <c r="Q267" s="30">
        <f t="shared" si="350"/>
        <v>20.859140171404952</v>
      </c>
      <c r="R267" s="30">
        <f t="shared" si="351"/>
        <v>20.859140171404952</v>
      </c>
      <c r="S267" s="30">
        <f t="shared" si="352"/>
        <v>20.859140171404952</v>
      </c>
    </row>
    <row r="268" spans="3:19" outlineLevel="1">
      <c r="C268" s="28" t="s">
        <v>132</v>
      </c>
      <c r="I268" s="71"/>
      <c r="J268" s="30"/>
      <c r="K268" s="30"/>
      <c r="L268" s="30"/>
      <c r="M268" s="30"/>
      <c r="N268" s="30"/>
      <c r="O268" s="30"/>
      <c r="P268" s="30">
        <f t="shared" si="349"/>
        <v>20.859140171404952</v>
      </c>
      <c r="Q268" s="30">
        <f t="shared" si="350"/>
        <v>20.859140171404952</v>
      </c>
      <c r="R268" s="30">
        <f t="shared" si="351"/>
        <v>20.859140171404952</v>
      </c>
      <c r="S268" s="30">
        <f t="shared" si="352"/>
        <v>20.859140171404952</v>
      </c>
    </row>
    <row r="269" spans="3:19" outlineLevel="1">
      <c r="C269" s="28" t="s">
        <v>133</v>
      </c>
      <c r="I269" s="71"/>
      <c r="J269" s="30"/>
      <c r="K269" s="30"/>
      <c r="L269" s="30"/>
      <c r="M269" s="30"/>
      <c r="N269" s="30"/>
      <c r="O269" s="30"/>
      <c r="P269" s="30"/>
      <c r="Q269" s="30">
        <f t="shared" si="350"/>
        <v>20.859140171404952</v>
      </c>
      <c r="R269" s="30">
        <f t="shared" si="351"/>
        <v>20.859140171404952</v>
      </c>
      <c r="S269" s="30">
        <f t="shared" si="352"/>
        <v>20.859140171404952</v>
      </c>
    </row>
    <row r="270" spans="3:19" outlineLevel="1">
      <c r="C270" s="28" t="s">
        <v>134</v>
      </c>
      <c r="I270" s="71"/>
      <c r="J270" s="30"/>
      <c r="K270" s="30"/>
      <c r="L270" s="30"/>
      <c r="M270" s="30"/>
      <c r="N270" s="30"/>
      <c r="O270" s="30"/>
      <c r="P270" s="30"/>
      <c r="Q270" s="30"/>
      <c r="R270" s="30">
        <f t="shared" si="351"/>
        <v>20.859140171404952</v>
      </c>
      <c r="S270" s="30">
        <f t="shared" si="352"/>
        <v>20.859140171404952</v>
      </c>
    </row>
    <row r="271" spans="3:19" outlineLevel="1">
      <c r="C271" s="28" t="s">
        <v>135</v>
      </c>
      <c r="I271" s="71"/>
      <c r="J271" s="30"/>
      <c r="K271" s="30"/>
      <c r="L271" s="30"/>
      <c r="M271" s="30"/>
      <c r="N271" s="30"/>
      <c r="O271" s="30"/>
      <c r="P271" s="30"/>
      <c r="Q271" s="30"/>
      <c r="R271" s="30"/>
      <c r="S271" s="30">
        <f t="shared" si="352"/>
        <v>20.859140171404952</v>
      </c>
    </row>
    <row r="272" spans="3:19" outlineLevel="1">
      <c r="C272" s="136" t="s">
        <v>111</v>
      </c>
      <c r="D272" s="51"/>
      <c r="E272" s="51"/>
      <c r="F272" s="51"/>
      <c r="G272" s="51"/>
      <c r="H272" s="51"/>
      <c r="I272" s="137"/>
      <c r="J272" s="52">
        <f>SUM(J262:J271)</f>
        <v>20.859140171404952</v>
      </c>
      <c r="K272" s="52">
        <f t="shared" ref="K272:S272" si="353">SUM(K262:K271)</f>
        <v>41.718280342809905</v>
      </c>
      <c r="L272" s="52">
        <f t="shared" si="353"/>
        <v>62.577420514214857</v>
      </c>
      <c r="M272" s="52">
        <f t="shared" si="353"/>
        <v>83.43656068561981</v>
      </c>
      <c r="N272" s="52">
        <f t="shared" si="353"/>
        <v>104.29570085702477</v>
      </c>
      <c r="O272" s="52">
        <f t="shared" si="353"/>
        <v>125.00218286292554</v>
      </c>
      <c r="P272" s="52">
        <f t="shared" si="353"/>
        <v>125.00218286292554</v>
      </c>
      <c r="Q272" s="52">
        <f t="shared" si="353"/>
        <v>125.00218286292554</v>
      </c>
      <c r="R272" s="52">
        <f t="shared" si="353"/>
        <v>125.00218286292554</v>
      </c>
      <c r="S272" s="52">
        <f t="shared" si="353"/>
        <v>125.00218286292554</v>
      </c>
    </row>
    <row r="273" spans="3:19" outlineLevel="1">
      <c r="C273" s="28"/>
      <c r="I273" s="71"/>
      <c r="J273" s="70"/>
      <c r="K273" s="70"/>
      <c r="L273" s="70"/>
      <c r="M273" s="70"/>
      <c r="N273" s="70"/>
      <c r="O273" s="70"/>
      <c r="P273" s="70"/>
      <c r="Q273" s="70"/>
      <c r="R273" s="70"/>
      <c r="S273" s="70"/>
    </row>
    <row r="274" spans="3:19" outlineLevel="1">
      <c r="C274" s="132" t="s">
        <v>136</v>
      </c>
      <c r="I274" s="71"/>
      <c r="J274" s="70"/>
      <c r="K274" s="70"/>
      <c r="L274" s="70"/>
      <c r="M274" s="70"/>
      <c r="N274" s="70"/>
      <c r="O274" s="70"/>
      <c r="P274" s="70"/>
      <c r="Q274" s="70"/>
      <c r="R274" s="70"/>
      <c r="S274" s="70"/>
    </row>
    <row r="275" spans="3:19" outlineLevel="1">
      <c r="C275" s="28" t="s">
        <v>137</v>
      </c>
      <c r="I275" s="71"/>
      <c r="J275" s="30">
        <f>$J$237/$D$223</f>
        <v>1.6761825664664394</v>
      </c>
      <c r="K275" s="30">
        <f t="shared" ref="K275:S275" si="354">$J$237/$D$223</f>
        <v>1.6761825664664394</v>
      </c>
      <c r="L275" s="30">
        <f t="shared" si="354"/>
        <v>1.6761825664664394</v>
      </c>
      <c r="M275" s="30">
        <f t="shared" si="354"/>
        <v>1.6761825664664394</v>
      </c>
      <c r="N275" s="30">
        <f t="shared" si="354"/>
        <v>1.6761825664664394</v>
      </c>
      <c r="O275" s="30">
        <f t="shared" si="354"/>
        <v>1.6761825664664394</v>
      </c>
      <c r="P275" s="30">
        <f t="shared" si="354"/>
        <v>1.6761825664664394</v>
      </c>
      <c r="Q275" s="30">
        <f t="shared" si="354"/>
        <v>1.6761825664664394</v>
      </c>
      <c r="R275" s="30">
        <f t="shared" si="354"/>
        <v>1.6761825664664394</v>
      </c>
      <c r="S275" s="30">
        <f t="shared" si="354"/>
        <v>1.6761825664664394</v>
      </c>
    </row>
    <row r="276" spans="3:19" outlineLevel="1">
      <c r="C276" s="28" t="s">
        <v>138</v>
      </c>
      <c r="I276" s="71"/>
      <c r="J276" s="30"/>
      <c r="K276" s="30">
        <f>$K$237/$D$223</f>
        <v>1.7645115005480978</v>
      </c>
      <c r="L276" s="30">
        <f t="shared" ref="L276:S276" si="355">$K$237/$D$223</f>
        <v>1.7645115005480978</v>
      </c>
      <c r="M276" s="30">
        <f t="shared" si="355"/>
        <v>1.7645115005480978</v>
      </c>
      <c r="N276" s="30">
        <f t="shared" si="355"/>
        <v>1.7645115005480978</v>
      </c>
      <c r="O276" s="30">
        <f t="shared" si="355"/>
        <v>1.7645115005480978</v>
      </c>
      <c r="P276" s="30">
        <f t="shared" si="355"/>
        <v>1.7645115005480978</v>
      </c>
      <c r="Q276" s="30">
        <f t="shared" si="355"/>
        <v>1.7645115005480978</v>
      </c>
      <c r="R276" s="30">
        <f t="shared" si="355"/>
        <v>1.7645115005480978</v>
      </c>
      <c r="S276" s="30">
        <f t="shared" si="355"/>
        <v>1.7645115005480978</v>
      </c>
    </row>
    <row r="277" spans="3:19" outlineLevel="1">
      <c r="C277" s="28" t="s">
        <v>139</v>
      </c>
      <c r="I277" s="71"/>
      <c r="J277" s="30"/>
      <c r="K277" s="30"/>
      <c r="L277" s="30">
        <f>$L$237/$D$223</f>
        <v>1.8822618858705606</v>
      </c>
      <c r="M277" s="30">
        <f t="shared" ref="M277:S277" si="356">$L$237/$D$223</f>
        <v>1.8822618858705606</v>
      </c>
      <c r="N277" s="30">
        <f t="shared" si="356"/>
        <v>1.8822618858705606</v>
      </c>
      <c r="O277" s="30">
        <f t="shared" si="356"/>
        <v>1.8822618858705606</v>
      </c>
      <c r="P277" s="30">
        <f t="shared" si="356"/>
        <v>1.8822618858705606</v>
      </c>
      <c r="Q277" s="30">
        <f t="shared" si="356"/>
        <v>1.8822618858705606</v>
      </c>
      <c r="R277" s="30">
        <f t="shared" si="356"/>
        <v>1.8822618858705606</v>
      </c>
      <c r="S277" s="30">
        <f t="shared" si="356"/>
        <v>1.8822618858705606</v>
      </c>
    </row>
    <row r="278" spans="3:19" outlineLevel="1">
      <c r="C278" s="28" t="s">
        <v>140</v>
      </c>
      <c r="I278" s="71"/>
      <c r="J278" s="30"/>
      <c r="K278" s="30"/>
      <c r="L278" s="30"/>
      <c r="M278" s="30">
        <f>$M$237/$D$223</f>
        <v>1.9970510622760269</v>
      </c>
      <c r="N278" s="30">
        <f t="shared" ref="N278:S278" si="357">$M$237/$D$223</f>
        <v>1.9970510622760269</v>
      </c>
      <c r="O278" s="30">
        <f t="shared" si="357"/>
        <v>1.9970510622760269</v>
      </c>
      <c r="P278" s="30">
        <f t="shared" si="357"/>
        <v>1.9970510622760269</v>
      </c>
      <c r="Q278" s="30">
        <f t="shared" si="357"/>
        <v>1.9970510622760269</v>
      </c>
      <c r="R278" s="30">
        <f t="shared" si="357"/>
        <v>1.9970510622760269</v>
      </c>
      <c r="S278" s="30">
        <f t="shared" si="357"/>
        <v>1.9970510622760269</v>
      </c>
    </row>
    <row r="279" spans="3:19" outlineLevel="1">
      <c r="C279" s="28" t="s">
        <v>141</v>
      </c>
      <c r="I279" s="71"/>
      <c r="J279" s="30"/>
      <c r="K279" s="30"/>
      <c r="L279" s="30"/>
      <c r="M279" s="30"/>
      <c r="N279" s="30">
        <f>$N$237/$D$223</f>
        <v>2.1071360047456404</v>
      </c>
      <c r="O279" s="30">
        <f t="shared" ref="O279:S279" si="358">$N$237/$D$223</f>
        <v>2.1071360047456404</v>
      </c>
      <c r="P279" s="30">
        <f t="shared" si="358"/>
        <v>2.1071360047456404</v>
      </c>
      <c r="Q279" s="30">
        <f t="shared" si="358"/>
        <v>2.1071360047456404</v>
      </c>
      <c r="R279" s="30">
        <f t="shared" si="358"/>
        <v>2.1071360047456404</v>
      </c>
      <c r="S279" s="30">
        <f t="shared" si="358"/>
        <v>2.1071360047456404</v>
      </c>
    </row>
    <row r="280" spans="3:19" outlineLevel="1">
      <c r="C280" s="28" t="s">
        <v>142</v>
      </c>
      <c r="I280" s="71"/>
      <c r="J280" s="30"/>
      <c r="K280" s="30"/>
      <c r="L280" s="30"/>
      <c r="M280" s="30"/>
      <c r="N280" s="30"/>
      <c r="O280" s="30">
        <f>$O$237/$D$223</f>
        <v>2.2118972010604905</v>
      </c>
      <c r="P280" s="30">
        <f t="shared" ref="P280:S280" si="359">$O$237/$D$223</f>
        <v>2.2118972010604905</v>
      </c>
      <c r="Q280" s="30">
        <f t="shared" si="359"/>
        <v>2.2118972010604905</v>
      </c>
      <c r="R280" s="30">
        <f t="shared" si="359"/>
        <v>2.2118972010604905</v>
      </c>
      <c r="S280" s="30">
        <f t="shared" si="359"/>
        <v>2.2118972010604905</v>
      </c>
    </row>
    <row r="281" spans="3:19" outlineLevel="1">
      <c r="C281" s="28" t="s">
        <v>143</v>
      </c>
      <c r="I281" s="71"/>
      <c r="J281" s="30"/>
      <c r="K281" s="30"/>
      <c r="L281" s="30"/>
      <c r="M281" s="30"/>
      <c r="N281" s="30"/>
      <c r="O281" s="30"/>
      <c r="P281" s="30">
        <f>$P$237/$D$223</f>
        <v>2.3099007029415457</v>
      </c>
      <c r="Q281" s="30">
        <f t="shared" ref="Q281:S281" si="360">$P$237/$D$223</f>
        <v>2.3099007029415457</v>
      </c>
      <c r="R281" s="30">
        <f t="shared" si="360"/>
        <v>2.3099007029415457</v>
      </c>
      <c r="S281" s="30">
        <f t="shared" si="360"/>
        <v>2.3099007029415457</v>
      </c>
    </row>
    <row r="282" spans="3:19" outlineLevel="1">
      <c r="C282" s="28" t="s">
        <v>144</v>
      </c>
      <c r="I282" s="71"/>
      <c r="J282" s="30"/>
      <c r="K282" s="30"/>
      <c r="L282" s="30"/>
      <c r="M282" s="30"/>
      <c r="N282" s="30"/>
      <c r="O282" s="30"/>
      <c r="P282" s="30"/>
      <c r="Q282" s="30">
        <f>$Q$237/$D$223</f>
        <v>2.3997435344095446</v>
      </c>
      <c r="R282" s="30">
        <f t="shared" ref="R282:S282" si="361">$Q$237/$D$223</f>
        <v>2.3997435344095446</v>
      </c>
      <c r="S282" s="30">
        <f t="shared" si="361"/>
        <v>2.3997435344095446</v>
      </c>
    </row>
    <row r="283" spans="3:19" outlineLevel="1">
      <c r="C283" s="28" t="s">
        <v>145</v>
      </c>
      <c r="I283" s="71"/>
      <c r="J283" s="30"/>
      <c r="K283" s="30"/>
      <c r="L283" s="30"/>
      <c r="M283" s="30"/>
      <c r="N283" s="30"/>
      <c r="O283" s="30"/>
      <c r="P283" s="30"/>
      <c r="Q283" s="30"/>
      <c r="R283" s="30">
        <f>$R$237/$D$223</f>
        <v>2.4800861642394856</v>
      </c>
      <c r="S283" s="30">
        <f>$R$237/$D$223</f>
        <v>2.4800861642394856</v>
      </c>
    </row>
    <row r="284" spans="3:19" outlineLevel="1">
      <c r="C284" s="28" t="s">
        <v>146</v>
      </c>
      <c r="I284" s="71"/>
      <c r="J284" s="30"/>
      <c r="K284" s="30"/>
      <c r="L284" s="30"/>
      <c r="M284" s="30"/>
      <c r="N284" s="30"/>
      <c r="O284" s="30"/>
      <c r="P284" s="30"/>
      <c r="Q284" s="30"/>
      <c r="R284" s="30"/>
      <c r="S284" s="30">
        <f>$S$237/$D$223</f>
        <v>2.5496850444234922</v>
      </c>
    </row>
    <row r="285" spans="3:19" outlineLevel="1">
      <c r="C285" s="136" t="s">
        <v>111</v>
      </c>
      <c r="D285" s="51"/>
      <c r="E285" s="51"/>
      <c r="F285" s="51"/>
      <c r="G285" s="51"/>
      <c r="H285" s="51"/>
      <c r="I285" s="137"/>
      <c r="J285" s="52">
        <f>SUM(J275:J284)</f>
        <v>1.6761825664664394</v>
      </c>
      <c r="K285" s="52">
        <f t="shared" ref="K285:S285" si="362">SUM(K275:K284)</f>
        <v>3.4406940670145372</v>
      </c>
      <c r="L285" s="52">
        <f t="shared" si="362"/>
        <v>5.3229559528850974</v>
      </c>
      <c r="M285" s="52">
        <f t="shared" si="362"/>
        <v>7.3200070151611243</v>
      </c>
      <c r="N285" s="52">
        <f t="shared" si="362"/>
        <v>9.4271430199067652</v>
      </c>
      <c r="O285" s="52">
        <f t="shared" si="362"/>
        <v>11.639040220967257</v>
      </c>
      <c r="P285" s="52">
        <f t="shared" si="362"/>
        <v>13.948940923908802</v>
      </c>
      <c r="Q285" s="52">
        <f t="shared" si="362"/>
        <v>16.348684458318345</v>
      </c>
      <c r="R285" s="52">
        <f t="shared" si="362"/>
        <v>18.82877062255783</v>
      </c>
      <c r="S285" s="52">
        <f t="shared" si="362"/>
        <v>21.378455666981321</v>
      </c>
    </row>
    <row r="286" spans="3:19" outlineLevel="1">
      <c r="C286" s="28"/>
      <c r="I286" s="71"/>
      <c r="J286" s="70"/>
      <c r="K286" s="70"/>
      <c r="L286" s="70"/>
      <c r="M286" s="70"/>
      <c r="N286" s="70"/>
      <c r="O286" s="70"/>
      <c r="P286" s="70"/>
      <c r="Q286" s="70"/>
      <c r="R286" s="70"/>
      <c r="S286" s="70"/>
    </row>
    <row r="287" spans="3:19" outlineLevel="1">
      <c r="C287" s="132" t="s">
        <v>147</v>
      </c>
      <c r="I287" s="71"/>
      <c r="J287" s="70"/>
      <c r="K287" s="70"/>
      <c r="L287" s="70"/>
      <c r="M287" s="70"/>
      <c r="N287" s="70"/>
      <c r="O287" s="70"/>
      <c r="P287" s="70"/>
      <c r="Q287" s="70"/>
      <c r="R287" s="70"/>
      <c r="S287" s="70"/>
    </row>
    <row r="288" spans="3:19" outlineLevel="1">
      <c r="C288" s="28" t="s">
        <v>148</v>
      </c>
      <c r="I288" s="71"/>
      <c r="J288" s="70">
        <f>J249+J262+J275</f>
        <v>41.163225253365489</v>
      </c>
      <c r="K288" s="70">
        <f t="shared" ref="K288:S288" si="363">K249+K262+K275</f>
        <v>41.163225253365489</v>
      </c>
      <c r="L288" s="70">
        <f t="shared" si="363"/>
        <v>41.163225253365489</v>
      </c>
      <c r="M288" s="70">
        <f t="shared" si="363"/>
        <v>41.163225253365489</v>
      </c>
      <c r="N288" s="70">
        <f t="shared" si="363"/>
        <v>41.163225253365489</v>
      </c>
      <c r="O288" s="70">
        <f t="shared" si="363"/>
        <v>41.01056708786129</v>
      </c>
      <c r="P288" s="70">
        <f t="shared" si="363"/>
        <v>20.30408508196054</v>
      </c>
      <c r="Q288" s="70">
        <f t="shared" si="363"/>
        <v>20.30408508196054</v>
      </c>
      <c r="R288" s="70">
        <f t="shared" si="363"/>
        <v>20.30408508196054</v>
      </c>
      <c r="S288" s="70">
        <f t="shared" si="363"/>
        <v>20.30408508196054</v>
      </c>
    </row>
    <row r="289" spans="3:19" outlineLevel="1">
      <c r="C289" s="28" t="s">
        <v>149</v>
      </c>
      <c r="I289" s="71"/>
      <c r="J289" s="70"/>
      <c r="K289" s="70">
        <f t="shared" ref="K289:S297" si="364">K250+K263+K276</f>
        <v>42.144408345863781</v>
      </c>
      <c r="L289" s="70">
        <f t="shared" si="364"/>
        <v>42.144408345863781</v>
      </c>
      <c r="M289" s="70">
        <f t="shared" si="364"/>
        <v>42.144408345863781</v>
      </c>
      <c r="N289" s="70">
        <f t="shared" si="364"/>
        <v>42.144408345863781</v>
      </c>
      <c r="O289" s="70">
        <f t="shared" si="364"/>
        <v>42.144408345863781</v>
      </c>
      <c r="P289" s="70">
        <f t="shared" si="364"/>
        <v>41.991750180359581</v>
      </c>
      <c r="Q289" s="70">
        <f t="shared" si="364"/>
        <v>21.285268174458828</v>
      </c>
      <c r="R289" s="70">
        <f t="shared" si="364"/>
        <v>21.285268174458828</v>
      </c>
      <c r="S289" s="70">
        <f t="shared" si="364"/>
        <v>21.285268174458828</v>
      </c>
    </row>
    <row r="290" spans="3:19" outlineLevel="1">
      <c r="C290" s="28" t="s">
        <v>150</v>
      </c>
      <c r="I290" s="71"/>
      <c r="J290" s="70"/>
      <c r="K290" s="70"/>
      <c r="L290" s="70">
        <f t="shared" si="364"/>
        <v>43.452413343487216</v>
      </c>
      <c r="M290" s="70">
        <f t="shared" si="364"/>
        <v>43.452413343487216</v>
      </c>
      <c r="N290" s="70">
        <f t="shared" si="364"/>
        <v>43.452413343487216</v>
      </c>
      <c r="O290" s="70">
        <f t="shared" si="364"/>
        <v>43.452413343487216</v>
      </c>
      <c r="P290" s="70">
        <f t="shared" si="364"/>
        <v>43.452413343487216</v>
      </c>
      <c r="Q290" s="70">
        <f t="shared" si="364"/>
        <v>43.299755177983016</v>
      </c>
      <c r="R290" s="70">
        <f t="shared" si="364"/>
        <v>22.593273172082263</v>
      </c>
      <c r="S290" s="70">
        <f t="shared" si="364"/>
        <v>22.593273172082263</v>
      </c>
    </row>
    <row r="291" spans="3:19" outlineLevel="1">
      <c r="C291" s="28" t="s">
        <v>151</v>
      </c>
      <c r="I291" s="71"/>
      <c r="J291" s="70"/>
      <c r="K291" s="70"/>
      <c r="L291" s="70"/>
      <c r="M291" s="70">
        <f t="shared" si="364"/>
        <v>44.727524384527555</v>
      </c>
      <c r="N291" s="70">
        <f t="shared" si="364"/>
        <v>44.727524384527555</v>
      </c>
      <c r="O291" s="70">
        <f t="shared" si="364"/>
        <v>44.727524384527555</v>
      </c>
      <c r="P291" s="70">
        <f t="shared" si="364"/>
        <v>44.727524384527555</v>
      </c>
      <c r="Q291" s="70">
        <f t="shared" si="364"/>
        <v>44.727524384527555</v>
      </c>
      <c r="R291" s="70">
        <f t="shared" si="364"/>
        <v>44.574866219023356</v>
      </c>
      <c r="S291" s="70">
        <f t="shared" si="364"/>
        <v>23.868384213122603</v>
      </c>
    </row>
    <row r="292" spans="3:19" outlineLevel="1">
      <c r="C292" s="28" t="s">
        <v>152</v>
      </c>
      <c r="I292" s="71"/>
      <c r="J292" s="70"/>
      <c r="K292" s="70"/>
      <c r="L292" s="70"/>
      <c r="M292" s="70"/>
      <c r="N292" s="70">
        <f t="shared" si="364"/>
        <v>44.265810284048577</v>
      </c>
      <c r="O292" s="70">
        <f t="shared" si="364"/>
        <v>44.265810284048577</v>
      </c>
      <c r="P292" s="70">
        <f t="shared" si="364"/>
        <v>44.265810284048577</v>
      </c>
      <c r="Q292" s="70">
        <f t="shared" si="364"/>
        <v>44.265810284048577</v>
      </c>
      <c r="R292" s="70">
        <f t="shared" si="364"/>
        <v>44.265810284048577</v>
      </c>
      <c r="S292" s="70">
        <f t="shared" si="364"/>
        <v>44.113152118544377</v>
      </c>
    </row>
    <row r="293" spans="3:19" outlineLevel="1">
      <c r="C293" s="28" t="s">
        <v>153</v>
      </c>
      <c r="I293" s="71"/>
      <c r="J293" s="70"/>
      <c r="K293" s="70"/>
      <c r="L293" s="70"/>
      <c r="M293" s="70"/>
      <c r="N293" s="70"/>
      <c r="O293" s="70">
        <f t="shared" si="364"/>
        <v>45.429527650761024</v>
      </c>
      <c r="P293" s="70">
        <f t="shared" si="364"/>
        <v>45.429527650761024</v>
      </c>
      <c r="Q293" s="70">
        <f t="shared" si="364"/>
        <v>45.429527650761024</v>
      </c>
      <c r="R293" s="70">
        <f t="shared" si="364"/>
        <v>45.429527650761024</v>
      </c>
      <c r="S293" s="70">
        <f t="shared" si="364"/>
        <v>45.429527650761024</v>
      </c>
    </row>
    <row r="294" spans="3:19" outlineLevel="1">
      <c r="C294" s="28" t="s">
        <v>154</v>
      </c>
      <c r="I294" s="71"/>
      <c r="J294" s="70"/>
      <c r="K294" s="70"/>
      <c r="L294" s="70"/>
      <c r="M294" s="70"/>
      <c r="N294" s="70"/>
      <c r="O294" s="70"/>
      <c r="P294" s="70">
        <f t="shared" si="364"/>
        <v>43.988688691007432</v>
      </c>
      <c r="Q294" s="70">
        <f t="shared" si="364"/>
        <v>43.988688691007432</v>
      </c>
      <c r="R294" s="70">
        <f t="shared" si="364"/>
        <v>43.988688691007432</v>
      </c>
      <c r="S294" s="70">
        <f t="shared" si="364"/>
        <v>43.988688691007432</v>
      </c>
    </row>
    <row r="295" spans="3:19" outlineLevel="1">
      <c r="C295" s="28" t="s">
        <v>155</v>
      </c>
      <c r="I295" s="71"/>
      <c r="J295" s="70"/>
      <c r="K295" s="70"/>
      <c r="L295" s="70"/>
      <c r="M295" s="70"/>
      <c r="N295" s="70"/>
      <c r="O295" s="70"/>
      <c r="P295" s="70"/>
      <c r="Q295" s="70">
        <f t="shared" si="364"/>
        <v>42.260431303071513</v>
      </c>
      <c r="R295" s="70">
        <f t="shared" si="364"/>
        <v>42.260431303071513</v>
      </c>
      <c r="S295" s="70">
        <f t="shared" si="364"/>
        <v>42.260431303071513</v>
      </c>
    </row>
    <row r="296" spans="3:19" outlineLevel="1">
      <c r="C296" s="28" t="s">
        <v>156</v>
      </c>
      <c r="I296" s="71"/>
      <c r="J296" s="70"/>
      <c r="K296" s="70"/>
      <c r="L296" s="70"/>
      <c r="M296" s="70"/>
      <c r="N296" s="70"/>
      <c r="O296" s="70"/>
      <c r="P296" s="70"/>
      <c r="Q296" s="70"/>
      <c r="R296" s="70">
        <f t="shared" si="364"/>
        <v>40.261085587051419</v>
      </c>
      <c r="S296" s="70">
        <f t="shared" si="364"/>
        <v>40.261085587051419</v>
      </c>
    </row>
    <row r="297" spans="3:19" outlineLevel="1">
      <c r="C297" s="28" t="s">
        <v>157</v>
      </c>
      <c r="I297" s="71"/>
      <c r="J297" s="70"/>
      <c r="K297" s="70"/>
      <c r="L297" s="70"/>
      <c r="M297" s="70"/>
      <c r="N297" s="70"/>
      <c r="O297" s="70"/>
      <c r="P297" s="70"/>
      <c r="Q297" s="70"/>
      <c r="R297" s="70"/>
      <c r="S297" s="70">
        <f t="shared" si="364"/>
        <v>38.013494912490479</v>
      </c>
    </row>
    <row r="298" spans="3:19" outlineLevel="1">
      <c r="C298" s="136" t="s">
        <v>111</v>
      </c>
      <c r="D298" s="51"/>
      <c r="E298" s="51"/>
      <c r="F298" s="51"/>
      <c r="G298" s="51"/>
      <c r="H298" s="51"/>
      <c r="I298" s="137"/>
      <c r="J298" s="81">
        <f>SUM(J288:J297)</f>
        <v>41.163225253365489</v>
      </c>
      <c r="K298" s="81">
        <f t="shared" ref="K298:S298" si="365">SUM(K288:K297)</f>
        <v>83.307633599229263</v>
      </c>
      <c r="L298" s="81">
        <f t="shared" si="365"/>
        <v>126.76004694271649</v>
      </c>
      <c r="M298" s="81">
        <f t="shared" si="365"/>
        <v>171.48757132724404</v>
      </c>
      <c r="N298" s="81">
        <f t="shared" si="365"/>
        <v>215.75338161129261</v>
      </c>
      <c r="O298" s="81">
        <f t="shared" si="365"/>
        <v>261.03025109654942</v>
      </c>
      <c r="P298" s="81">
        <f t="shared" si="365"/>
        <v>284.15979961615193</v>
      </c>
      <c r="Q298" s="81">
        <f t="shared" si="365"/>
        <v>305.56109074781847</v>
      </c>
      <c r="R298" s="81">
        <f t="shared" si="365"/>
        <v>324.96303616346495</v>
      </c>
      <c r="S298" s="81">
        <f t="shared" si="365"/>
        <v>342.11739090455052</v>
      </c>
    </row>
    <row r="299" spans="3:19" outlineLevel="1">
      <c r="C299" s="28"/>
      <c r="I299" s="71"/>
      <c r="J299" s="70"/>
      <c r="K299" s="70"/>
      <c r="L299" s="70"/>
      <c r="M299" s="70"/>
      <c r="N299" s="70"/>
      <c r="O299" s="70"/>
      <c r="P299" s="70"/>
      <c r="Q299" s="70"/>
      <c r="R299" s="70"/>
      <c r="S299" s="70"/>
    </row>
    <row r="300" spans="3:19" outlineLevel="1">
      <c r="C300" s="132" t="s">
        <v>158</v>
      </c>
      <c r="I300" s="71"/>
      <c r="J300" s="48">
        <f t="shared" ref="J300:S300" si="366">J242+J243+J259+J272</f>
        <v>383.24313451889554</v>
      </c>
      <c r="K300" s="48">
        <f t="shared" si="366"/>
        <v>423.62303136421127</v>
      </c>
      <c r="L300" s="48">
        <f t="shared" si="366"/>
        <v>465.19318282182792</v>
      </c>
      <c r="M300" s="48">
        <f t="shared" si="366"/>
        <v>474.047737507075</v>
      </c>
      <c r="N300" s="48">
        <f t="shared" si="366"/>
        <v>438.18835076413126</v>
      </c>
      <c r="O300" s="48">
        <f t="shared" si="366"/>
        <v>481.25332304832762</v>
      </c>
      <c r="P300" s="48">
        <f t="shared" si="366"/>
        <v>502.07297086498852</v>
      </c>
      <c r="Q300" s="48">
        <f t="shared" si="366"/>
        <v>521.07451846224558</v>
      </c>
      <c r="R300" s="48">
        <f t="shared" si="366"/>
        <v>496.03736815894399</v>
      </c>
      <c r="S300" s="48">
        <f t="shared" si="366"/>
        <v>320.73893523756914</v>
      </c>
    </row>
    <row r="301" spans="3:19" outlineLevel="1">
      <c r="C301" s="74" t="s">
        <v>112</v>
      </c>
      <c r="I301" s="71"/>
      <c r="J301" s="112">
        <f t="shared" ref="J301:S301" si="367">J300/J24</f>
        <v>3.3869739182804955E-2</v>
      </c>
      <c r="K301" s="112">
        <f t="shared" si="367"/>
        <v>3.5564266702738601E-2</v>
      </c>
      <c r="L301" s="112">
        <f t="shared" si="367"/>
        <v>3.6611041319771241E-2</v>
      </c>
      <c r="M301" s="112">
        <f t="shared" si="367"/>
        <v>3.5163467677073429E-2</v>
      </c>
      <c r="N301" s="112">
        <f t="shared" si="367"/>
        <v>3.0805413862650427E-2</v>
      </c>
      <c r="O301" s="112">
        <f t="shared" si="367"/>
        <v>3.2230540631279579E-2</v>
      </c>
      <c r="P301" s="112">
        <f t="shared" si="367"/>
        <v>3.2198253761258525E-2</v>
      </c>
      <c r="Q301" s="112">
        <f t="shared" si="367"/>
        <v>3.2165758262654859E-2</v>
      </c>
      <c r="R301" s="112">
        <f t="shared" si="367"/>
        <v>2.9628278150874598E-2</v>
      </c>
      <c r="S301" s="112">
        <f t="shared" si="367"/>
        <v>1.8634765617958786E-2</v>
      </c>
    </row>
    <row r="302" spans="3:19" outlineLevel="1">
      <c r="C302" s="28"/>
      <c r="I302" s="71"/>
      <c r="J302" s="70"/>
      <c r="K302" s="70"/>
      <c r="L302" s="70"/>
      <c r="M302" s="70"/>
      <c r="N302" s="70"/>
      <c r="O302" s="70"/>
      <c r="P302" s="70"/>
      <c r="Q302" s="70"/>
      <c r="R302" s="70"/>
      <c r="S302" s="70"/>
    </row>
    <row r="303" spans="3:19" outlineLevel="1">
      <c r="C303" s="132" t="s">
        <v>159</v>
      </c>
      <c r="I303" s="71"/>
      <c r="J303" s="48">
        <f t="shared" ref="J303:S303" si="368">J244+J285</f>
        <v>215.29748413755073</v>
      </c>
      <c r="K303" s="48">
        <f t="shared" si="368"/>
        <v>217.06199563809881</v>
      </c>
      <c r="L303" s="48">
        <f t="shared" si="368"/>
        <v>218.94425752396938</v>
      </c>
      <c r="M303" s="48">
        <f t="shared" si="368"/>
        <v>220.94130858624538</v>
      </c>
      <c r="N303" s="48">
        <f t="shared" si="368"/>
        <v>223.04844459099104</v>
      </c>
      <c r="O303" s="48">
        <f t="shared" si="368"/>
        <v>225.26034179205152</v>
      </c>
      <c r="P303" s="48">
        <f t="shared" si="368"/>
        <v>227.57024249499307</v>
      </c>
      <c r="Q303" s="48">
        <f t="shared" si="368"/>
        <v>229.96998602940261</v>
      </c>
      <c r="R303" s="48">
        <f t="shared" si="368"/>
        <v>232.45007219364211</v>
      </c>
      <c r="S303" s="48">
        <f t="shared" si="368"/>
        <v>145.48674152722327</v>
      </c>
    </row>
    <row r="304" spans="3:19" outlineLevel="1">
      <c r="C304" s="74" t="s">
        <v>112</v>
      </c>
      <c r="I304" s="71"/>
      <c r="J304" s="21">
        <f t="shared" ref="J304:S304" si="369">J303/J24</f>
        <v>1.9027267490667597E-2</v>
      </c>
      <c r="K304" s="21">
        <f t="shared" si="369"/>
        <v>1.8222924941172603E-2</v>
      </c>
      <c r="L304" s="21">
        <f t="shared" si="369"/>
        <v>1.7231072068411575E-2</v>
      </c>
      <c r="M304" s="21">
        <f t="shared" si="369"/>
        <v>1.6388776800958352E-2</v>
      </c>
      <c r="N304" s="21">
        <f t="shared" si="369"/>
        <v>1.5680699030596816E-2</v>
      </c>
      <c r="O304" s="21">
        <f t="shared" si="369"/>
        <v>1.5086155775002438E-2</v>
      </c>
      <c r="P304" s="21">
        <f t="shared" si="369"/>
        <v>1.459422203856362E-2</v>
      </c>
      <c r="Q304" s="21">
        <f t="shared" si="369"/>
        <v>1.4195971432488769E-2</v>
      </c>
      <c r="R304" s="21">
        <f t="shared" si="369"/>
        <v>1.3884226949888371E-2</v>
      </c>
      <c r="S304" s="21">
        <f t="shared" si="369"/>
        <v>8.4527041497854186E-3</v>
      </c>
    </row>
    <row r="305" spans="2:19" outlineLevel="1">
      <c r="C305" s="74"/>
      <c r="I305" s="71"/>
      <c r="J305" s="20"/>
      <c r="K305" s="20"/>
      <c r="L305" s="20"/>
      <c r="M305" s="20"/>
      <c r="N305" s="20"/>
      <c r="O305" s="20"/>
      <c r="P305" s="20"/>
      <c r="Q305" s="20"/>
      <c r="R305" s="20"/>
      <c r="S305" s="20"/>
    </row>
    <row r="306" spans="2:19" outlineLevel="1">
      <c r="C306" s="132" t="s">
        <v>158</v>
      </c>
      <c r="I306" s="71"/>
      <c r="J306" s="141">
        <f>J300+J303</f>
        <v>598.54061865644621</v>
      </c>
      <c r="K306" s="141">
        <f t="shared" ref="K306:S306" si="370">K300+K303</f>
        <v>640.68502700231011</v>
      </c>
      <c r="L306" s="141">
        <f t="shared" si="370"/>
        <v>684.13744034579736</v>
      </c>
      <c r="M306" s="141">
        <f t="shared" si="370"/>
        <v>694.98904609332044</v>
      </c>
      <c r="N306" s="141">
        <f t="shared" si="370"/>
        <v>661.23679535512224</v>
      </c>
      <c r="O306" s="141">
        <f t="shared" si="370"/>
        <v>706.51366484037908</v>
      </c>
      <c r="P306" s="141">
        <f t="shared" si="370"/>
        <v>729.64321335998159</v>
      </c>
      <c r="Q306" s="141">
        <f t="shared" si="370"/>
        <v>751.04450449164824</v>
      </c>
      <c r="R306" s="141">
        <f t="shared" si="370"/>
        <v>728.48744035258608</v>
      </c>
      <c r="S306" s="141">
        <f t="shared" si="370"/>
        <v>466.22567676479241</v>
      </c>
    </row>
    <row r="307" spans="2:19" outlineLevel="1">
      <c r="C307" s="74" t="s">
        <v>112</v>
      </c>
      <c r="I307" s="71"/>
      <c r="J307" s="21">
        <f t="shared" ref="J307:S307" si="371">J306/J24</f>
        <v>5.2897006673472552E-2</v>
      </c>
      <c r="K307" s="21">
        <f t="shared" si="371"/>
        <v>5.3787191643911207E-2</v>
      </c>
      <c r="L307" s="21">
        <f t="shared" si="371"/>
        <v>5.3842113388182823E-2</v>
      </c>
      <c r="M307" s="21">
        <f t="shared" si="371"/>
        <v>5.1552244478031785E-2</v>
      </c>
      <c r="N307" s="21">
        <f t="shared" si="371"/>
        <v>4.6486112893247236E-2</v>
      </c>
      <c r="O307" s="21">
        <f t="shared" si="371"/>
        <v>4.7316696406282013E-2</v>
      </c>
      <c r="P307" s="21">
        <f t="shared" si="371"/>
        <v>4.6792475799822146E-2</v>
      </c>
      <c r="Q307" s="21">
        <f t="shared" si="371"/>
        <v>4.6361729695143628E-2</v>
      </c>
      <c r="R307" s="21">
        <f t="shared" si="371"/>
        <v>4.3512505100762967E-2</v>
      </c>
      <c r="S307" s="21">
        <f t="shared" si="371"/>
        <v>2.7087469767744204E-2</v>
      </c>
    </row>
    <row r="308" spans="2:19">
      <c r="C308" s="28"/>
      <c r="S308" s="70"/>
    </row>
    <row r="309" spans="2:19" outlineLevel="1">
      <c r="B309" t="s">
        <v>40</v>
      </c>
      <c r="C309" s="200" t="s">
        <v>160</v>
      </c>
      <c r="D309" s="200"/>
      <c r="E309" s="201">
        <v>2020</v>
      </c>
      <c r="F309" s="201">
        <f>E309+1</f>
        <v>2021</v>
      </c>
      <c r="G309" s="201">
        <f t="shared" ref="G309" si="372">F309+1</f>
        <v>2022</v>
      </c>
      <c r="H309" s="201">
        <f t="shared" ref="H309" si="373">G309+1</f>
        <v>2023</v>
      </c>
      <c r="I309" s="201">
        <f t="shared" ref="I309" si="374">H309+1</f>
        <v>2024</v>
      </c>
      <c r="J309" s="202">
        <f t="shared" ref="J309" si="375">I309+1</f>
        <v>2025</v>
      </c>
      <c r="K309" s="202">
        <f t="shared" ref="K309" si="376">J309+1</f>
        <v>2026</v>
      </c>
      <c r="L309" s="202">
        <f t="shared" ref="L309" si="377">K309+1</f>
        <v>2027</v>
      </c>
      <c r="M309" s="202">
        <f t="shared" ref="M309" si="378">L309+1</f>
        <v>2028</v>
      </c>
      <c r="N309" s="202">
        <f t="shared" ref="N309" si="379">M309+1</f>
        <v>2029</v>
      </c>
      <c r="O309" s="202">
        <f t="shared" ref="O309" si="380">N309+1</f>
        <v>2030</v>
      </c>
      <c r="P309" s="202">
        <f t="shared" ref="P309" si="381">O309+1</f>
        <v>2031</v>
      </c>
      <c r="Q309" s="202">
        <f t="shared" ref="Q309" si="382">P309+1</f>
        <v>2032</v>
      </c>
      <c r="R309" s="202">
        <f t="shared" ref="R309" si="383">Q309+1</f>
        <v>2033</v>
      </c>
      <c r="S309" s="202">
        <f t="shared" ref="S309" si="384">R309+1</f>
        <v>2034</v>
      </c>
    </row>
    <row r="310" spans="2:19" outlineLevel="1"/>
    <row r="311" spans="2:19" outlineLevel="1">
      <c r="C311" t="s">
        <v>43</v>
      </c>
      <c r="E311" s="30"/>
      <c r="F311" s="30"/>
      <c r="G311" s="30"/>
      <c r="H311" s="30"/>
      <c r="I311" s="30"/>
      <c r="J311" s="30">
        <f>Assumptions!J61</f>
        <v>2139.0392689740306</v>
      </c>
      <c r="K311" s="30">
        <f>Assumptions!K61</f>
        <v>2186.4907451572335</v>
      </c>
      <c r="L311" s="30">
        <f>Assumptions!L61</f>
        <v>2259.8619536400356</v>
      </c>
      <c r="M311" s="30">
        <f>Assumptions!M61</f>
        <v>2397.6789568932304</v>
      </c>
      <c r="N311" s="30">
        <f>Assumptions!N61</f>
        <v>2529.8480110632195</v>
      </c>
      <c r="O311" s="30">
        <f>Assumptions!O61</f>
        <v>2655.6253237458518</v>
      </c>
      <c r="P311" s="30">
        <f>Assumptions!P61</f>
        <v>2773.289282670491</v>
      </c>
      <c r="Q311" s="30">
        <f>Assumptions!Q61</f>
        <v>2881.1554612112736</v>
      </c>
      <c r="R311" s="30">
        <f>Assumptions!R61</f>
        <v>2977.6156051322641</v>
      </c>
      <c r="S311" s="30">
        <f>Assumptions!S61</f>
        <v>3061.1766985828936</v>
      </c>
    </row>
    <row r="312" spans="2:19" outlineLevel="1">
      <c r="C312" s="7" t="s">
        <v>161</v>
      </c>
      <c r="E312" s="30"/>
      <c r="F312" s="30"/>
      <c r="G312" s="30"/>
      <c r="H312" s="30"/>
      <c r="I312" s="30"/>
      <c r="J312" s="152">
        <f>Assumptions!J62</f>
        <v>69</v>
      </c>
      <c r="K312" s="152">
        <f>Assumptions!K62</f>
        <v>67</v>
      </c>
      <c r="L312" s="152">
        <f>Assumptions!L62</f>
        <v>64.916263569977303</v>
      </c>
      <c r="M312" s="152">
        <f>Assumptions!M62</f>
        <v>64.916263569977303</v>
      </c>
      <c r="N312" s="152">
        <f>Assumptions!N62</f>
        <v>64.916263569977303</v>
      </c>
      <c r="O312" s="152">
        <f>Assumptions!O62</f>
        <v>64.916263569977303</v>
      </c>
      <c r="P312" s="152">
        <f>Assumptions!P62</f>
        <v>64.916263569977303</v>
      </c>
      <c r="Q312" s="152">
        <f>Assumptions!Q62</f>
        <v>64.916263569977303</v>
      </c>
      <c r="R312" s="152">
        <f>Assumptions!R62</f>
        <v>64.916263569977303</v>
      </c>
      <c r="S312" s="152">
        <f>Assumptions!S62</f>
        <v>64.916263569977303</v>
      </c>
    </row>
    <row r="313" spans="2:19" outlineLevel="1"/>
    <row r="314" spans="2:19" outlineLevel="1">
      <c r="C314" t="s">
        <v>44</v>
      </c>
      <c r="E314" s="30"/>
      <c r="F314" s="30"/>
      <c r="G314" s="30"/>
      <c r="H314" s="30"/>
      <c r="I314" s="30"/>
      <c r="J314" s="30">
        <f>Assumptions!J64</f>
        <v>1395.0256102004548</v>
      </c>
      <c r="K314" s="30">
        <f>Assumptions!K64</f>
        <v>1395.1116321712202</v>
      </c>
      <c r="L314" s="30">
        <f>Assumptions!L64</f>
        <v>1384.5803327946699</v>
      </c>
      <c r="M314" s="30">
        <f>Assumptions!M64</f>
        <v>1469.0185489970863</v>
      </c>
      <c r="N314" s="30">
        <f>Assumptions!N64</f>
        <v>1549.9963594837307</v>
      </c>
      <c r="O314" s="30">
        <f>Assumptions!O64</f>
        <v>1627.0580548548267</v>
      </c>
      <c r="P314" s="30">
        <f>Assumptions!P64</f>
        <v>1699.1488315252345</v>
      </c>
      <c r="Q314" s="30">
        <f>Assumptions!Q64</f>
        <v>1765.2366689441194</v>
      </c>
      <c r="R314" s="30">
        <f>Assumptions!R64</f>
        <v>1824.336216133903</v>
      </c>
      <c r="S314" s="30">
        <f>Assumptions!S64</f>
        <v>1875.532726784566</v>
      </c>
    </row>
    <row r="315" spans="2:19" outlineLevel="1">
      <c r="C315" s="7" t="s">
        <v>162</v>
      </c>
      <c r="E315" s="30"/>
      <c r="F315" s="30"/>
      <c r="G315" s="30"/>
      <c r="H315" s="30"/>
      <c r="I315" s="30"/>
      <c r="J315" s="152">
        <f>Assumptions!J65</f>
        <v>100</v>
      </c>
      <c r="K315" s="152">
        <f>Assumptions!K65</f>
        <v>95</v>
      </c>
      <c r="L315" s="152">
        <f>Assumptions!L65</f>
        <v>88.384731910755363</v>
      </c>
      <c r="M315" s="152">
        <f>Assumptions!M65</f>
        <v>88.384731910755363</v>
      </c>
      <c r="N315" s="152">
        <f>Assumptions!N65</f>
        <v>88.384731910755363</v>
      </c>
      <c r="O315" s="152">
        <f>Assumptions!O65</f>
        <v>88.384731910755363</v>
      </c>
      <c r="P315" s="152">
        <f>Assumptions!P65</f>
        <v>88.384731910755363</v>
      </c>
      <c r="Q315" s="152">
        <f>Assumptions!Q65</f>
        <v>88.384731910755363</v>
      </c>
      <c r="R315" s="152">
        <f>Assumptions!R65</f>
        <v>88.384731910755363</v>
      </c>
      <c r="S315" s="152">
        <f>Assumptions!S65</f>
        <v>88.384731910755363</v>
      </c>
    </row>
    <row r="316" spans="2:19" outlineLevel="1"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</row>
    <row r="317" spans="2:19" outlineLevel="1">
      <c r="C317" t="s">
        <v>45</v>
      </c>
      <c r="E317" s="30"/>
      <c r="F317" s="30"/>
      <c r="G317" s="30"/>
      <c r="H317" s="30"/>
      <c r="I317" s="30"/>
      <c r="J317" s="30">
        <f>Assumptions!J67</f>
        <v>248.80163210679893</v>
      </c>
      <c r="K317" s="30">
        <f>Assumptions!K67</f>
        <v>261.91260426545756</v>
      </c>
      <c r="L317" s="30">
        <f>Assumptions!L67</f>
        <v>279.39070518091637</v>
      </c>
      <c r="M317" s="30">
        <f>Assumptions!M67</f>
        <v>296.42926351533578</v>
      </c>
      <c r="N317" s="30">
        <f>Assumptions!N67</f>
        <v>312.76955597796558</v>
      </c>
      <c r="O317" s="30">
        <f>Assumptions!O67</f>
        <v>328.31962620661761</v>
      </c>
      <c r="P317" s="30">
        <f>Assumptions!P67</f>
        <v>342.86662825042902</v>
      </c>
      <c r="Q317" s="30">
        <f>Assumptions!Q67</f>
        <v>356.20231348515654</v>
      </c>
      <c r="R317" s="30">
        <f>Assumptions!R67</f>
        <v>368.12785061300133</v>
      </c>
      <c r="S317" s="30">
        <f>Assumptions!S67</f>
        <v>378.45865546028654</v>
      </c>
    </row>
    <row r="318" spans="2:19" outlineLevel="1">
      <c r="C318" s="7" t="s">
        <v>112</v>
      </c>
      <c r="E318" s="30"/>
      <c r="F318" s="30"/>
      <c r="G318" s="30"/>
      <c r="H318" s="30"/>
      <c r="I318" s="30"/>
      <c r="J318" s="113">
        <f>Assumptions!J68</f>
        <v>2.1988251396315599E-2</v>
      </c>
      <c r="K318" s="113">
        <f>Assumptions!K68</f>
        <v>2.1988251396315599E-2</v>
      </c>
      <c r="L318" s="113">
        <f>Assumptions!L68</f>
        <v>2.1988251396315599E-2</v>
      </c>
      <c r="M318" s="113">
        <f>Assumptions!M68</f>
        <v>2.1988251396315599E-2</v>
      </c>
      <c r="N318" s="113">
        <f>Assumptions!N68</f>
        <v>2.1988251396315599E-2</v>
      </c>
      <c r="O318" s="113">
        <f>Assumptions!O68</f>
        <v>2.1988251396315599E-2</v>
      </c>
      <c r="P318" s="113">
        <f>Assumptions!P68</f>
        <v>2.1988251396315599E-2</v>
      </c>
      <c r="Q318" s="113">
        <f>Assumptions!Q68</f>
        <v>2.1988251396315599E-2</v>
      </c>
      <c r="R318" s="113">
        <f>Assumptions!R68</f>
        <v>2.1988251396315599E-2</v>
      </c>
      <c r="S318" s="113">
        <f>Assumptions!S68</f>
        <v>2.1988251396315599E-2</v>
      </c>
    </row>
    <row r="319" spans="2:19" outlineLevel="1"/>
    <row r="320" spans="2:19" outlineLevel="1">
      <c r="C320" t="s">
        <v>163</v>
      </c>
      <c r="E320" s="30"/>
      <c r="F320" s="30"/>
      <c r="G320" s="30"/>
      <c r="H320" s="30"/>
      <c r="I320" s="30"/>
      <c r="J320" s="30">
        <f>Assumptions!J70</f>
        <v>1116.020488160364</v>
      </c>
      <c r="K320" s="30">
        <f>Assumptions!K70</f>
        <v>1163.0850938339033</v>
      </c>
      <c r="L320" s="30">
        <f>Assumptions!L70</f>
        <v>1240.7007500193199</v>
      </c>
      <c r="M320" s="30">
        <f>Assumptions!M70</f>
        <v>1316.3645130320276</v>
      </c>
      <c r="N320" s="30">
        <f>Assumptions!N70</f>
        <v>1388.9274606819572</v>
      </c>
      <c r="O320" s="30">
        <f>Assumptions!O70</f>
        <v>1457.981238913587</v>
      </c>
      <c r="P320" s="30">
        <f>Assumptions!P70</f>
        <v>1522.5806547552927</v>
      </c>
      <c r="Q320" s="30">
        <f>Assumptions!Q70</f>
        <v>1581.800930755649</v>
      </c>
      <c r="R320" s="30">
        <f>Assumptions!R70</f>
        <v>1634.7591093368558</v>
      </c>
      <c r="S320" s="30">
        <f>Assumptions!S70</f>
        <v>1680.6355006578563</v>
      </c>
    </row>
    <row r="321" spans="2:19" outlineLevel="1">
      <c r="C321" s="7" t="s">
        <v>164</v>
      </c>
      <c r="E321" s="30"/>
      <c r="F321" s="30"/>
      <c r="G321" s="30"/>
      <c r="H321" s="30"/>
      <c r="I321" s="30"/>
      <c r="J321" s="152">
        <f>Assumptions!J71</f>
        <v>80</v>
      </c>
      <c r="K321" s="152">
        <f>Assumptions!K71</f>
        <v>79.200173926053367</v>
      </c>
      <c r="L321" s="152">
        <f>Assumptions!L71</f>
        <v>79.200173926053367</v>
      </c>
      <c r="M321" s="152">
        <f>Assumptions!M71</f>
        <v>79.200173926053367</v>
      </c>
      <c r="N321" s="152">
        <f>Assumptions!N71</f>
        <v>79.200173926053367</v>
      </c>
      <c r="O321" s="152">
        <f>Assumptions!O71</f>
        <v>79.200173926053367</v>
      </c>
      <c r="P321" s="152">
        <f>Assumptions!P71</f>
        <v>79.200173926053367</v>
      </c>
      <c r="Q321" s="152">
        <f>Assumptions!Q71</f>
        <v>79.200173926053367</v>
      </c>
      <c r="R321" s="152">
        <f>Assumptions!R71</f>
        <v>79.200173926053367</v>
      </c>
      <c r="S321" s="152">
        <f>Assumptions!S71</f>
        <v>79.200173926053367</v>
      </c>
    </row>
    <row r="322" spans="2:19" outlineLevel="1"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</row>
    <row r="323" spans="2:19" outlineLevel="1">
      <c r="C323" t="s">
        <v>57</v>
      </c>
      <c r="E323" s="30"/>
      <c r="F323" s="30"/>
      <c r="G323" s="30"/>
      <c r="H323" s="30"/>
      <c r="I323" s="30"/>
      <c r="J323" s="30">
        <f>Assumptions!J73</f>
        <v>626.26059378747902</v>
      </c>
      <c r="K323" s="30">
        <f>Assumptions!K73</f>
        <v>659.26232749671817</v>
      </c>
      <c r="L323" s="30">
        <f>Assumptions!L73</f>
        <v>703.25659620350132</v>
      </c>
      <c r="M323" s="30">
        <f>Assumptions!M73</f>
        <v>746.14448873635945</v>
      </c>
      <c r="N323" s="30">
        <f>Assumptions!N73</f>
        <v>787.27477061455431</v>
      </c>
      <c r="O323" s="30">
        <f>Assumptions!O73</f>
        <v>826.41597773755416</v>
      </c>
      <c r="P323" s="30">
        <f>Assumptions!P73</f>
        <v>863.03235384667232</v>
      </c>
      <c r="Q323" s="30">
        <f>Assumptions!Q73</f>
        <v>896.59971465111596</v>
      </c>
      <c r="R323" s="30">
        <f>Assumptions!R73</f>
        <v>926.61758028839938</v>
      </c>
      <c r="S323" s="30">
        <f>Assumptions!S73</f>
        <v>952.62133244701158</v>
      </c>
    </row>
    <row r="324" spans="2:19" outlineLevel="1">
      <c r="C324" s="7" t="s">
        <v>112</v>
      </c>
      <c r="E324" s="30"/>
      <c r="F324" s="30"/>
      <c r="G324" s="30"/>
      <c r="H324" s="30"/>
      <c r="I324" s="30"/>
      <c r="J324" s="113">
        <f>Assumptions!J74</f>
        <v>5.5346804838860508E-2</v>
      </c>
      <c r="K324" s="113">
        <f>Assumptions!K74</f>
        <v>5.5346804838860508E-2</v>
      </c>
      <c r="L324" s="113">
        <f>Assumptions!L74</f>
        <v>5.5346804838860508E-2</v>
      </c>
      <c r="M324" s="113">
        <f>Assumptions!M74</f>
        <v>5.5346804838860508E-2</v>
      </c>
      <c r="N324" s="113">
        <f>Assumptions!N74</f>
        <v>5.5346804838860508E-2</v>
      </c>
      <c r="O324" s="113">
        <f>Assumptions!O74</f>
        <v>5.5346804838860508E-2</v>
      </c>
      <c r="P324" s="113">
        <f>Assumptions!P74</f>
        <v>5.5346804838860508E-2</v>
      </c>
      <c r="Q324" s="113">
        <f>Assumptions!Q74</f>
        <v>5.5346804838860508E-2</v>
      </c>
      <c r="R324" s="113">
        <f>Assumptions!R74</f>
        <v>5.5346804838860508E-2</v>
      </c>
      <c r="S324" s="113">
        <f>Assumptions!S74</f>
        <v>5.5346804838860508E-2</v>
      </c>
    </row>
    <row r="325" spans="2:19" outlineLevel="1">
      <c r="C325" s="7"/>
      <c r="D325" s="7"/>
      <c r="E325" s="112"/>
      <c r="F325" s="112"/>
      <c r="G325" s="112"/>
      <c r="H325" s="112"/>
      <c r="I325" s="112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</row>
    <row r="326" spans="2:19" outlineLevel="1">
      <c r="C326" t="s">
        <v>60</v>
      </c>
      <c r="E326" s="30"/>
      <c r="F326" s="30"/>
      <c r="G326" s="30"/>
      <c r="H326" s="30"/>
      <c r="I326" s="30"/>
      <c r="J326" s="30">
        <f>Assumptions!J76</f>
        <v>43.4789629662761</v>
      </c>
      <c r="K326" s="30">
        <f>Assumptions!K76</f>
        <v>45.770151605639604</v>
      </c>
      <c r="L326" s="30">
        <f>Assumptions!L76</f>
        <v>48.824511402193785</v>
      </c>
      <c r="M326" s="30">
        <f>Assumptions!M76</f>
        <v>51.802059582034332</v>
      </c>
      <c r="N326" s="30">
        <f>Assumptions!N76</f>
        <v>54.657583337344072</v>
      </c>
      <c r="O326" s="30">
        <f>Assumptions!O76</f>
        <v>57.375012969414719</v>
      </c>
      <c r="P326" s="30">
        <f>Assumptions!P76</f>
        <v>59.917152897426611</v>
      </c>
      <c r="Q326" s="30">
        <f>Assumptions!Q76</f>
        <v>62.247610939605941</v>
      </c>
      <c r="R326" s="30">
        <f>Assumptions!R76</f>
        <v>64.331640625198773</v>
      </c>
      <c r="S326" s="30">
        <f>Assumptions!S76</f>
        <v>66.136985218654374</v>
      </c>
    </row>
    <row r="327" spans="2:19" outlineLevel="1">
      <c r="C327" s="7" t="s">
        <v>112</v>
      </c>
      <c r="E327" s="30"/>
      <c r="F327" s="30"/>
      <c r="G327" s="30"/>
      <c r="H327" s="30"/>
      <c r="I327" s="30"/>
      <c r="J327" s="149">
        <f>Assumptions!J77</f>
        <v>3.842524504594878E-3</v>
      </c>
      <c r="K327" s="149">
        <f>Assumptions!K77</f>
        <v>3.842524504594878E-3</v>
      </c>
      <c r="L327" s="149">
        <f>Assumptions!L77</f>
        <v>3.842524504594878E-3</v>
      </c>
      <c r="M327" s="149">
        <f>Assumptions!M77</f>
        <v>3.842524504594878E-3</v>
      </c>
      <c r="N327" s="149">
        <f>Assumptions!N77</f>
        <v>3.842524504594878E-3</v>
      </c>
      <c r="O327" s="149">
        <f>Assumptions!O77</f>
        <v>3.842524504594878E-3</v>
      </c>
      <c r="P327" s="149">
        <f>Assumptions!P77</f>
        <v>3.842524504594878E-3</v>
      </c>
      <c r="Q327" s="149">
        <f>Assumptions!Q77</f>
        <v>3.842524504594878E-3</v>
      </c>
      <c r="R327" s="149">
        <f>Assumptions!R77</f>
        <v>3.842524504594878E-3</v>
      </c>
      <c r="S327" s="149">
        <f>Assumptions!S77</f>
        <v>3.842524504594878E-3</v>
      </c>
    </row>
    <row r="329" spans="2:19" outlineLevel="1">
      <c r="B329" t="s">
        <v>0</v>
      </c>
      <c r="C329" s="200" t="s">
        <v>165</v>
      </c>
      <c r="D329" s="200"/>
      <c r="E329" s="201">
        <v>2020</v>
      </c>
      <c r="F329" s="201">
        <f>E329+1</f>
        <v>2021</v>
      </c>
      <c r="G329" s="201">
        <f t="shared" ref="G329" si="385">F329+1</f>
        <v>2022</v>
      </c>
      <c r="H329" s="201">
        <f t="shared" ref="H329" si="386">G329+1</f>
        <v>2023</v>
      </c>
      <c r="I329" s="201">
        <f t="shared" ref="I329" si="387">H329+1</f>
        <v>2024</v>
      </c>
      <c r="J329" s="202">
        <f t="shared" ref="J329" si="388">I329+1</f>
        <v>2025</v>
      </c>
      <c r="K329" s="202">
        <f t="shared" ref="K329" si="389">J329+1</f>
        <v>2026</v>
      </c>
      <c r="L329" s="202">
        <f t="shared" ref="L329" si="390">K329+1</f>
        <v>2027</v>
      </c>
      <c r="M329" s="202">
        <f t="shared" ref="M329" si="391">L329+1</f>
        <v>2028</v>
      </c>
      <c r="N329" s="202">
        <f t="shared" ref="N329" si="392">M329+1</f>
        <v>2029</v>
      </c>
      <c r="O329" s="202">
        <f t="shared" ref="O329" si="393">N329+1</f>
        <v>2030</v>
      </c>
      <c r="P329" s="202">
        <f t="shared" ref="P329" si="394">O329+1</f>
        <v>2031</v>
      </c>
      <c r="Q329" s="202">
        <f t="shared" ref="Q329" si="395">P329+1</f>
        <v>2032</v>
      </c>
      <c r="R329" s="202">
        <f t="shared" ref="R329" si="396">Q329+1</f>
        <v>2033</v>
      </c>
      <c r="S329" s="202">
        <f t="shared" ref="S329" si="397">R329+1</f>
        <v>2034</v>
      </c>
    </row>
    <row r="330" spans="2:19" outlineLevel="1"/>
    <row r="331" spans="2:19" outlineLevel="1">
      <c r="C331" t="s">
        <v>166</v>
      </c>
      <c r="I331" s="70"/>
      <c r="J331" s="30">
        <f>J24*Assumptions!J107</f>
        <v>565.76038635907332</v>
      </c>
      <c r="K331" s="30">
        <f>K24*Assumptions!K107</f>
        <v>595.57397162864947</v>
      </c>
      <c r="L331" s="30">
        <f>L24*Assumptions!L107</f>
        <v>635.31815273799293</v>
      </c>
      <c r="M331" s="30">
        <f>M24*Assumptions!M107</f>
        <v>674.06283967857075</v>
      </c>
      <c r="N331" s="30">
        <f>N24*Assumptions!N107</f>
        <v>711.21971079149557</v>
      </c>
      <c r="O331" s="30">
        <f>O24*Assumptions!O107</f>
        <v>746.57966267756876</v>
      </c>
      <c r="P331" s="30">
        <f>P24*Assumptions!P107</f>
        <v>779.65869607048546</v>
      </c>
      <c r="Q331" s="30">
        <f>Q24*Assumptions!Q107</f>
        <v>809.98326575628153</v>
      </c>
      <c r="R331" s="30">
        <f>R24*Assumptions!R107</f>
        <v>837.10124097154369</v>
      </c>
      <c r="S331" s="30">
        <f>S24*Assumptions!S107</f>
        <v>860.59288808136409</v>
      </c>
    </row>
    <row r="332" spans="2:19" outlineLevel="1">
      <c r="C332" t="s">
        <v>167</v>
      </c>
      <c r="J332" s="30">
        <f t="shared" ref="J332:S332" si="398">I111+J168+J176+J181+J182+J183+J185+J186+J189-J331</f>
        <v>496.16382929429358</v>
      </c>
      <c r="K332" s="30">
        <f t="shared" si="398"/>
        <v>859.13468404912157</v>
      </c>
      <c r="L332" s="30">
        <f t="shared" si="398"/>
        <v>1224.6373319156166</v>
      </c>
      <c r="M332" s="30">
        <f t="shared" si="398"/>
        <v>1367.7524602202991</v>
      </c>
      <c r="N332" s="30">
        <f t="shared" si="398"/>
        <v>1682.9371016275147</v>
      </c>
      <c r="O332" s="30">
        <f t="shared" si="398"/>
        <v>2056.2332527884796</v>
      </c>
      <c r="P332" s="30">
        <f t="shared" si="398"/>
        <v>2526.890550672304</v>
      </c>
      <c r="Q332" s="30">
        <f t="shared" si="398"/>
        <v>3132.1832761705</v>
      </c>
      <c r="R332" s="30">
        <f t="shared" si="398"/>
        <v>3881.5346306456045</v>
      </c>
      <c r="S332" s="30">
        <f t="shared" si="398"/>
        <v>4570.0192134991757</v>
      </c>
    </row>
    <row r="333" spans="2:19" outlineLevel="1">
      <c r="J333" s="70"/>
      <c r="K333" s="70"/>
      <c r="L333" s="70"/>
      <c r="M333" s="70"/>
      <c r="N333" s="70"/>
      <c r="O333" s="70"/>
      <c r="P333" s="70"/>
      <c r="Q333" s="70"/>
      <c r="R333" s="70"/>
      <c r="S333" s="70"/>
    </row>
    <row r="334" spans="2:19" outlineLevel="1">
      <c r="C334" t="s">
        <v>168</v>
      </c>
      <c r="I334" s="134"/>
      <c r="J334" s="20">
        <f>Assumptions!J109</f>
        <v>0</v>
      </c>
      <c r="K334" s="20">
        <f>Assumptions!K109</f>
        <v>0</v>
      </c>
      <c r="L334" s="20">
        <f>Assumptions!L109</f>
        <v>0</v>
      </c>
      <c r="M334" s="20">
        <f>Assumptions!M109</f>
        <v>0</v>
      </c>
      <c r="N334" s="20">
        <f>Assumptions!N109</f>
        <v>0</v>
      </c>
      <c r="O334" s="20">
        <f>Assumptions!O109</f>
        <v>0</v>
      </c>
      <c r="P334" s="20">
        <f>Assumptions!P109</f>
        <v>0</v>
      </c>
      <c r="Q334" s="20">
        <f>Assumptions!Q109</f>
        <v>0</v>
      </c>
      <c r="R334" s="20">
        <f>Assumptions!R109</f>
        <v>0</v>
      </c>
      <c r="S334" s="20">
        <f>Assumptions!S109</f>
        <v>0</v>
      </c>
    </row>
    <row r="335" spans="2:19" outlineLevel="1">
      <c r="C335" t="s">
        <v>169</v>
      </c>
      <c r="I335" s="20"/>
      <c r="J335" s="20">
        <f>Assumptions!J110</f>
        <v>0.15</v>
      </c>
      <c r="K335" s="20">
        <f>Assumptions!K110</f>
        <v>0.15</v>
      </c>
      <c r="L335" s="20">
        <f>Assumptions!L110</f>
        <v>0.15</v>
      </c>
      <c r="M335" s="20">
        <f>Assumptions!M110</f>
        <v>0</v>
      </c>
      <c r="N335" s="20">
        <f>Assumptions!N110</f>
        <v>0</v>
      </c>
      <c r="O335" s="20">
        <f>Assumptions!O110</f>
        <v>0</v>
      </c>
      <c r="P335" s="20">
        <f>Assumptions!P110</f>
        <v>0</v>
      </c>
      <c r="Q335" s="20">
        <f>Assumptions!Q110</f>
        <v>0</v>
      </c>
      <c r="R335" s="20">
        <f>Assumptions!R110</f>
        <v>0</v>
      </c>
      <c r="S335" s="20">
        <f>Assumptions!S110</f>
        <v>0</v>
      </c>
    </row>
    <row r="336" spans="2:19" outlineLevel="1"/>
    <row r="337" spans="3:19" outlineLevel="1">
      <c r="C337" t="s">
        <v>170</v>
      </c>
      <c r="J337" s="70">
        <f>IF(J332&lt;0,-J332,-J332*J335)</f>
        <v>-74.424574394144031</v>
      </c>
      <c r="K337" s="70">
        <f t="shared" ref="K337:S337" si="399">IF(K332&lt;0,-K332,-K332*K335)</f>
        <v>-128.87020260736824</v>
      </c>
      <c r="L337" s="70">
        <f t="shared" si="399"/>
        <v>-183.6955997873425</v>
      </c>
      <c r="M337" s="70">
        <f t="shared" si="399"/>
        <v>0</v>
      </c>
      <c r="N337" s="70">
        <f t="shared" si="399"/>
        <v>0</v>
      </c>
      <c r="O337" s="70">
        <f t="shared" si="399"/>
        <v>0</v>
      </c>
      <c r="P337" s="70">
        <f t="shared" si="399"/>
        <v>0</v>
      </c>
      <c r="Q337" s="70">
        <f t="shared" si="399"/>
        <v>0</v>
      </c>
      <c r="R337" s="70">
        <f t="shared" si="399"/>
        <v>0</v>
      </c>
      <c r="S337" s="70">
        <f t="shared" si="399"/>
        <v>0</v>
      </c>
    </row>
    <row r="338" spans="3:19" outlineLevel="1">
      <c r="C338" t="s">
        <v>171</v>
      </c>
      <c r="J338" s="70">
        <f>IF(J332&lt;0,-J332,-J332*J334)</f>
        <v>0</v>
      </c>
      <c r="K338" s="70">
        <f t="shared" ref="K338:S338" si="400">IF(K332&lt;0,-K332,-K332*K334)</f>
        <v>0</v>
      </c>
      <c r="L338" s="70">
        <f t="shared" si="400"/>
        <v>0</v>
      </c>
      <c r="M338" s="70">
        <f t="shared" si="400"/>
        <v>0</v>
      </c>
      <c r="N338" s="70">
        <f t="shared" si="400"/>
        <v>0</v>
      </c>
      <c r="O338" s="70">
        <f t="shared" si="400"/>
        <v>0</v>
      </c>
      <c r="P338" s="70">
        <f t="shared" si="400"/>
        <v>0</v>
      </c>
      <c r="Q338" s="70">
        <f t="shared" si="400"/>
        <v>0</v>
      </c>
      <c r="R338" s="70">
        <f t="shared" si="400"/>
        <v>0</v>
      </c>
      <c r="S338" s="70">
        <f t="shared" si="400"/>
        <v>0</v>
      </c>
    </row>
    <row r="339" spans="3:19" outlineLevel="1"/>
    <row r="340" spans="3:19" outlineLevel="1">
      <c r="C340" t="s">
        <v>172</v>
      </c>
      <c r="E340" s="20"/>
      <c r="F340" s="20"/>
      <c r="G340" s="20"/>
      <c r="H340" s="20"/>
      <c r="I340" s="20"/>
      <c r="J340" s="20">
        <f>Assumptions!J112</f>
        <v>2.7040000000000002E-2</v>
      </c>
      <c r="K340" s="20">
        <f>Assumptions!K112</f>
        <v>2.7040000000000002E-2</v>
      </c>
      <c r="L340" s="20">
        <f>Assumptions!L112</f>
        <v>2.7040000000000002E-2</v>
      </c>
      <c r="M340" s="20">
        <f>Assumptions!M112</f>
        <v>2.7040000000000002E-2</v>
      </c>
      <c r="N340" s="20">
        <f>Assumptions!N112</f>
        <v>2.7040000000000002E-2</v>
      </c>
      <c r="O340" s="20">
        <f>Assumptions!O112</f>
        <v>2.7040000000000002E-2</v>
      </c>
      <c r="P340" s="20">
        <f>Assumptions!P112</f>
        <v>2.7040000000000002E-2</v>
      </c>
      <c r="Q340" s="20">
        <f>Assumptions!Q112</f>
        <v>2.7040000000000002E-2</v>
      </c>
      <c r="R340" s="20">
        <f>Assumptions!R112</f>
        <v>2.7040000000000002E-2</v>
      </c>
      <c r="S340" s="20">
        <f>Assumptions!S112</f>
        <v>2.7040000000000002E-2</v>
      </c>
    </row>
    <row r="341" spans="3:19" outlineLevel="1">
      <c r="C341" t="s">
        <v>173</v>
      </c>
      <c r="I341" s="70"/>
      <c r="J341" s="70">
        <f t="shared" ref="J341:S341" si="401">J340*I136</f>
        <v>146.68659200000002</v>
      </c>
      <c r="K341" s="70">
        <f t="shared" si="401"/>
        <v>144.67415150838238</v>
      </c>
      <c r="L341" s="70">
        <f t="shared" si="401"/>
        <v>141.18950122987914</v>
      </c>
      <c r="M341" s="70">
        <f t="shared" si="401"/>
        <v>136.22237221162939</v>
      </c>
      <c r="N341" s="70">
        <f t="shared" si="401"/>
        <v>136.22237221162939</v>
      </c>
      <c r="O341" s="70">
        <f t="shared" si="401"/>
        <v>136.22237221162939</v>
      </c>
      <c r="P341" s="70">
        <f t="shared" si="401"/>
        <v>136.22237221162939</v>
      </c>
      <c r="Q341" s="70">
        <f t="shared" si="401"/>
        <v>136.22237221162939</v>
      </c>
      <c r="R341" s="70">
        <f t="shared" si="401"/>
        <v>136.22237221162939</v>
      </c>
      <c r="S341" s="70">
        <f t="shared" si="401"/>
        <v>136.22237221162939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B63E-E994-4EEE-8A23-F989F1B1EB26}">
  <dimension ref="B2:Q141"/>
  <sheetViews>
    <sheetView showGridLines="0" topLeftCell="A88" zoomScale="55" zoomScaleNormal="55" workbookViewId="0">
      <selection activeCell="C125" sqref="C125:C126"/>
    </sheetView>
  </sheetViews>
  <sheetFormatPr defaultRowHeight="14.45"/>
  <cols>
    <col min="2" max="2" width="49.7109375" bestFit="1" customWidth="1"/>
    <col min="3" max="3" width="17.7109375" customWidth="1"/>
    <col min="4" max="4" width="15.85546875" customWidth="1"/>
    <col min="5" max="14" width="11.28515625" bestFit="1" customWidth="1"/>
  </cols>
  <sheetData>
    <row r="2" spans="2:17">
      <c r="B2" s="200" t="s">
        <v>174</v>
      </c>
      <c r="C2" s="200"/>
      <c r="D2" s="206"/>
      <c r="E2" s="202">
        <v>2025</v>
      </c>
      <c r="F2" s="202">
        <f t="shared" ref="F2:N2" si="0">E2+1</f>
        <v>2026</v>
      </c>
      <c r="G2" s="202">
        <f t="shared" si="0"/>
        <v>2027</v>
      </c>
      <c r="H2" s="202">
        <f t="shared" si="0"/>
        <v>2028</v>
      </c>
      <c r="I2" s="202">
        <f t="shared" si="0"/>
        <v>2029</v>
      </c>
      <c r="J2" s="202">
        <f t="shared" si="0"/>
        <v>2030</v>
      </c>
      <c r="K2" s="202">
        <f t="shared" si="0"/>
        <v>2031</v>
      </c>
      <c r="L2" s="202">
        <f t="shared" si="0"/>
        <v>2032</v>
      </c>
      <c r="M2" s="202">
        <f t="shared" si="0"/>
        <v>2033</v>
      </c>
      <c r="N2" s="202">
        <f t="shared" si="0"/>
        <v>2034</v>
      </c>
    </row>
    <row r="4" spans="2:17">
      <c r="B4" s="3" t="s">
        <v>2</v>
      </c>
      <c r="C4" s="3"/>
      <c r="D4" s="48"/>
      <c r="E4" s="65">
        <f>'3-Statement Model'!J24</f>
        <v>11315.207727181467</v>
      </c>
      <c r="F4" s="65">
        <f>'3-Statement Model'!K24</f>
        <v>11911.479432572989</v>
      </c>
      <c r="G4" s="65">
        <f>'3-Statement Model'!L24</f>
        <v>12706.363054759859</v>
      </c>
      <c r="H4" s="65">
        <f>'3-Statement Model'!M24</f>
        <v>13481.256793571414</v>
      </c>
      <c r="I4" s="65">
        <f>'3-Statement Model'!N24</f>
        <v>14224.394215829911</v>
      </c>
      <c r="J4" s="65">
        <f>'3-Statement Model'!O24</f>
        <v>14931.593253551375</v>
      </c>
      <c r="K4" s="65">
        <f>'3-Statement Model'!P24</f>
        <v>15593.173921409709</v>
      </c>
      <c r="L4" s="65">
        <f>'3-Statement Model'!Q24</f>
        <v>16199.665315125631</v>
      </c>
      <c r="M4" s="65">
        <f>'3-Statement Model'!R24</f>
        <v>16742.024819430873</v>
      </c>
      <c r="N4" s="65">
        <f>'3-Statement Model'!S24</f>
        <v>17211.857761627281</v>
      </c>
    </row>
    <row r="5" spans="2:17">
      <c r="B5" s="7" t="s">
        <v>4</v>
      </c>
      <c r="C5" s="7"/>
      <c r="D5" s="7"/>
      <c r="E5" s="8">
        <f>'3-Statement Model'!J25</f>
        <v>-3.807604056911288E-2</v>
      </c>
      <c r="F5" s="8">
        <f>'3-Statement Model'!K25</f>
        <v>5.2696487750653866E-2</v>
      </c>
      <c r="G5" s="8">
        <f>'3-Statement Model'!L25</f>
        <v>6.6732568921135896E-2</v>
      </c>
      <c r="H5" s="8">
        <f>'3-Statement Model'!M25</f>
        <v>6.0984699986301509E-2</v>
      </c>
      <c r="I5" s="8">
        <f>'3-Statement Model'!N25</f>
        <v>5.5123749486981372E-2</v>
      </c>
      <c r="J5" s="8">
        <f>'3-Statement Model'!O25</f>
        <v>4.971733959218054E-2</v>
      </c>
      <c r="K5" s="8">
        <f>'3-Statement Model'!P25</f>
        <v>4.4307439710158304E-2</v>
      </c>
      <c r="L5" s="8">
        <f>'3-Statement Model'!Q25</f>
        <v>3.8894672551763057E-2</v>
      </c>
      <c r="M5" s="8">
        <f>'3-Statement Model'!R25</f>
        <v>3.3479673422563964E-2</v>
      </c>
      <c r="N5" s="8">
        <f>'3-Statement Model'!S25</f>
        <v>2.8063089576304878E-2</v>
      </c>
    </row>
    <row r="7" spans="2:17">
      <c r="B7" t="s">
        <v>21</v>
      </c>
      <c r="D7" s="30"/>
      <c r="E7" s="30">
        <f>'3-Statement Model'!J55</f>
        <v>2172.5198836188415</v>
      </c>
      <c r="F7" s="30">
        <f>'3-Statement Model'!K55</f>
        <v>2418.0303248123164</v>
      </c>
      <c r="G7" s="30">
        <f>'3-Statement Model'!L55</f>
        <v>2668.3362414995709</v>
      </c>
      <c r="H7" s="30">
        <f>'3-Statement Model'!M55</f>
        <v>2871.5076970307109</v>
      </c>
      <c r="I7" s="30">
        <f>I8*I4</f>
        <v>3029.795967971771</v>
      </c>
      <c r="J7" s="30">
        <f>J8*J4</f>
        <v>3180.4293630064426</v>
      </c>
      <c r="K7" s="30">
        <f t="shared" ref="K7:N7" si="1">K8*K4</f>
        <v>3321.3460452602681</v>
      </c>
      <c r="L7" s="30">
        <f t="shared" si="1"/>
        <v>3450.5287121217593</v>
      </c>
      <c r="M7" s="30">
        <f t="shared" si="1"/>
        <v>3566.0512865387759</v>
      </c>
      <c r="N7" s="30">
        <f t="shared" si="1"/>
        <v>3666.1257032266108</v>
      </c>
    </row>
    <row r="8" spans="2:17">
      <c r="B8" s="7" t="s">
        <v>5</v>
      </c>
      <c r="D8" s="20"/>
      <c r="E8" s="20">
        <f t="shared" ref="E8:H8" si="2">E7/E4</f>
        <v>0.19199999999999998</v>
      </c>
      <c r="F8" s="20">
        <f t="shared" si="2"/>
        <v>0.20299999999999996</v>
      </c>
      <c r="G8" s="20">
        <f t="shared" si="2"/>
        <v>0.21000000000000005</v>
      </c>
      <c r="H8" s="20">
        <f t="shared" si="2"/>
        <v>0.21299999999999997</v>
      </c>
      <c r="I8" s="40">
        <v>0.21299999999999999</v>
      </c>
      <c r="J8" s="20">
        <f>I8</f>
        <v>0.21299999999999999</v>
      </c>
      <c r="K8" s="20">
        <f t="shared" ref="K8:N8" si="3">J8</f>
        <v>0.21299999999999999</v>
      </c>
      <c r="L8" s="20">
        <f t="shared" si="3"/>
        <v>0.21299999999999999</v>
      </c>
      <c r="M8" s="20">
        <f t="shared" si="3"/>
        <v>0.21299999999999999</v>
      </c>
      <c r="N8" s="20">
        <f t="shared" si="3"/>
        <v>0.21299999999999999</v>
      </c>
    </row>
    <row r="9" spans="2:17">
      <c r="B9" s="7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2:17">
      <c r="B10" t="s">
        <v>175</v>
      </c>
      <c r="D10" s="115"/>
      <c r="E10" s="115">
        <f>'3-Statement Model'!J66</f>
        <v>598.54061865644621</v>
      </c>
      <c r="F10" s="115">
        <f>'3-Statement Model'!K66</f>
        <v>640.68502700231011</v>
      </c>
      <c r="G10" s="115">
        <f>'3-Statement Model'!L66</f>
        <v>684.13744034579736</v>
      </c>
      <c r="H10" s="115">
        <f>'3-Statement Model'!M66</f>
        <v>694.98904609332044</v>
      </c>
      <c r="I10" s="115">
        <f>'3-Statement Model'!N66</f>
        <v>661.23679535512224</v>
      </c>
      <c r="J10" s="115">
        <f>'3-Statement Model'!O66</f>
        <v>706.51366484037908</v>
      </c>
      <c r="K10" s="115">
        <f>'3-Statement Model'!P66</f>
        <v>729.64321335998159</v>
      </c>
      <c r="L10" s="115">
        <f>'3-Statement Model'!Q66</f>
        <v>751.04450449164824</v>
      </c>
      <c r="M10" s="115">
        <f>'3-Statement Model'!R66</f>
        <v>728.48744035258608</v>
      </c>
      <c r="N10" s="115">
        <f>'3-Statement Model'!S66</f>
        <v>466.22567676479241</v>
      </c>
      <c r="Q10" s="3"/>
    </row>
    <row r="11" spans="2:17"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Q11" s="7"/>
    </row>
    <row r="12" spans="2:17">
      <c r="B12" t="s">
        <v>26</v>
      </c>
      <c r="D12" s="115"/>
      <c r="E12" s="115">
        <f t="shared" ref="E12:N12" si="4">E7-E10</f>
        <v>1573.9792649623953</v>
      </c>
      <c r="F12" s="115">
        <f t="shared" si="4"/>
        <v>1777.3452978100063</v>
      </c>
      <c r="G12" s="115">
        <f t="shared" si="4"/>
        <v>1984.1988011537735</v>
      </c>
      <c r="H12" s="115">
        <f t="shared" si="4"/>
        <v>2176.5186509373907</v>
      </c>
      <c r="I12" s="115">
        <f>I7-I10</f>
        <v>2368.5591726166485</v>
      </c>
      <c r="J12" s="115">
        <f t="shared" si="4"/>
        <v>2473.9156981660635</v>
      </c>
      <c r="K12" s="115">
        <f t="shared" si="4"/>
        <v>2591.7028319002866</v>
      </c>
      <c r="L12" s="115">
        <f t="shared" si="4"/>
        <v>2699.4842076301111</v>
      </c>
      <c r="M12" s="115">
        <f t="shared" si="4"/>
        <v>2837.5638461861899</v>
      </c>
      <c r="N12" s="115">
        <f t="shared" si="4"/>
        <v>3199.9000264618185</v>
      </c>
    </row>
    <row r="14" spans="2:17">
      <c r="B14" t="s">
        <v>26</v>
      </c>
      <c r="D14" s="30"/>
      <c r="E14" s="30">
        <f>'3-Statement Model'!J72</f>
        <v>1573.9792649623953</v>
      </c>
      <c r="F14" s="30">
        <f>'3-Statement Model'!K72</f>
        <v>1777.3452978100063</v>
      </c>
      <c r="G14" s="30">
        <f>'3-Statement Model'!L72</f>
        <v>1984.1988011537735</v>
      </c>
      <c r="H14" s="30">
        <f>'3-Statement Model'!M72</f>
        <v>2176.5186509373907</v>
      </c>
      <c r="I14" s="30">
        <f>'3-Statement Model'!N72</f>
        <v>2368.5591726166485</v>
      </c>
      <c r="J14" s="30">
        <f>'3-Statement Model'!O72</f>
        <v>2473.9156981660631</v>
      </c>
      <c r="K14" s="30">
        <f>'3-Statement Model'!P72</f>
        <v>2591.702831900287</v>
      </c>
      <c r="L14" s="30">
        <f>'3-Statement Model'!Q72</f>
        <v>2699.4842076301106</v>
      </c>
      <c r="M14" s="30">
        <f>'3-Statement Model'!R72</f>
        <v>2837.5638461861913</v>
      </c>
      <c r="N14" s="30">
        <f>'3-Statement Model'!S72</f>
        <v>3199.9000264618171</v>
      </c>
    </row>
    <row r="15" spans="2:17">
      <c r="B15" s="7" t="s">
        <v>5</v>
      </c>
      <c r="C15" s="7"/>
      <c r="D15" s="21"/>
      <c r="E15" s="21">
        <f>'3-Statement Model'!J73</f>
        <v>0.13910299332652742</v>
      </c>
      <c r="F15" s="21">
        <f>'3-Statement Model'!K73</f>
        <v>0.14921280835608877</v>
      </c>
      <c r="G15" s="21">
        <f>'3-Statement Model'!L73</f>
        <v>0.15615788661181723</v>
      </c>
      <c r="H15" s="21">
        <f>'3-Statement Model'!M73</f>
        <v>0.16144775552196822</v>
      </c>
      <c r="I15" s="21">
        <f>'3-Statement Model'!N73</f>
        <v>0.16651388710675274</v>
      </c>
      <c r="J15" s="21">
        <f>'3-Statement Model'!O73</f>
        <v>0.16568330359371794</v>
      </c>
      <c r="K15" s="21">
        <f>'3-Statement Model'!P73</f>
        <v>0.1662075242001779</v>
      </c>
      <c r="L15" s="21">
        <f>'3-Statement Model'!Q73</f>
        <v>0.16663827030485634</v>
      </c>
      <c r="M15" s="21">
        <f>'3-Statement Model'!R73</f>
        <v>0.16948749489923712</v>
      </c>
      <c r="N15" s="21">
        <f>'3-Statement Model'!S73</f>
        <v>0.18591253023225571</v>
      </c>
    </row>
    <row r="17" spans="2:17">
      <c r="B17" t="s">
        <v>34</v>
      </c>
      <c r="D17" s="30"/>
      <c r="E17" s="30">
        <f t="shared" ref="E17:N17" si="5">E12*E18</f>
        <v>317.61552154135643</v>
      </c>
      <c r="F17" s="30">
        <f t="shared" si="5"/>
        <v>358.65304346082962</v>
      </c>
      <c r="G17" s="30">
        <f t="shared" si="5"/>
        <v>400.39430702744784</v>
      </c>
      <c r="H17" s="30">
        <f t="shared" si="5"/>
        <v>439.20280390636844</v>
      </c>
      <c r="I17" s="30">
        <f t="shared" si="5"/>
        <v>477.95493476858087</v>
      </c>
      <c r="J17" s="30">
        <f t="shared" si="5"/>
        <v>499.21497837592926</v>
      </c>
      <c r="K17" s="30">
        <f t="shared" si="5"/>
        <v>522.98341214417883</v>
      </c>
      <c r="L17" s="30">
        <f t="shared" si="5"/>
        <v>544.73276972907115</v>
      </c>
      <c r="M17" s="30">
        <f t="shared" si="5"/>
        <v>572.59605699752115</v>
      </c>
      <c r="N17" s="30">
        <f t="shared" si="5"/>
        <v>645.71239177610926</v>
      </c>
      <c r="Q17" s="29"/>
    </row>
    <row r="18" spans="2:17">
      <c r="B18" t="s">
        <v>35</v>
      </c>
      <c r="D18" s="20"/>
      <c r="E18" s="20">
        <f>Assumptions!J50</f>
        <v>0.20179142674344236</v>
      </c>
      <c r="F18" s="20">
        <f>Assumptions!K50</f>
        <v>0.20179142674344236</v>
      </c>
      <c r="G18" s="20">
        <f>Assumptions!L50</f>
        <v>0.20179142674344236</v>
      </c>
      <c r="H18" s="20">
        <f>Assumptions!M50</f>
        <v>0.20179142674344236</v>
      </c>
      <c r="I18" s="20">
        <f>Assumptions!N50</f>
        <v>0.20179142674344236</v>
      </c>
      <c r="J18" s="20">
        <f>Assumptions!O50</f>
        <v>0.20179142674344236</v>
      </c>
      <c r="K18" s="20">
        <f>Assumptions!P50</f>
        <v>0.20179142674344236</v>
      </c>
      <c r="L18" s="20">
        <f>Assumptions!Q50</f>
        <v>0.20179142674344236</v>
      </c>
      <c r="M18" s="20">
        <f>Assumptions!R50</f>
        <v>0.20179142674344236</v>
      </c>
      <c r="N18" s="20">
        <f>Assumptions!S50</f>
        <v>0.20179142674344236</v>
      </c>
      <c r="Q18" s="29"/>
    </row>
    <row r="19" spans="2:17">
      <c r="Q19" s="29"/>
    </row>
    <row r="20" spans="2:17">
      <c r="B20" s="3" t="s">
        <v>176</v>
      </c>
      <c r="C20" s="3"/>
      <c r="D20" s="48"/>
      <c r="E20" s="48">
        <f t="shared" ref="E20:N20" si="6">E12-E17</f>
        <v>1256.3637434210389</v>
      </c>
      <c r="F20" s="48">
        <f t="shared" si="6"/>
        <v>1418.6922543491767</v>
      </c>
      <c r="G20" s="48">
        <f t="shared" si="6"/>
        <v>1583.8044941263256</v>
      </c>
      <c r="H20" s="48">
        <f t="shared" si="6"/>
        <v>1737.3158470310223</v>
      </c>
      <c r="I20" s="48">
        <f t="shared" si="6"/>
        <v>1890.6042378480677</v>
      </c>
      <c r="J20" s="48">
        <f t="shared" si="6"/>
        <v>1974.7007197901344</v>
      </c>
      <c r="K20" s="48">
        <f t="shared" si="6"/>
        <v>2068.7194197561075</v>
      </c>
      <c r="L20" s="48">
        <f t="shared" si="6"/>
        <v>2154.7514379010399</v>
      </c>
      <c r="M20" s="48">
        <f t="shared" si="6"/>
        <v>2264.9677891886686</v>
      </c>
      <c r="N20" s="48">
        <f t="shared" si="6"/>
        <v>2554.1876346857093</v>
      </c>
      <c r="Q20" s="29"/>
    </row>
    <row r="21" spans="2:17">
      <c r="B21" s="7" t="s">
        <v>5</v>
      </c>
      <c r="C21" s="7"/>
      <c r="D21" s="21"/>
      <c r="E21" s="21">
        <f t="shared" ref="E21:N21" si="7">E20/E4</f>
        <v>0.11103320183888393</v>
      </c>
      <c r="F21" s="21">
        <f t="shared" si="7"/>
        <v>0.11910294286951777</v>
      </c>
      <c r="G21" s="21">
        <f t="shared" si="7"/>
        <v>0.12464656387517792</v>
      </c>
      <c r="H21" s="21">
        <f t="shared" si="7"/>
        <v>0.12886898259066376</v>
      </c>
      <c r="I21" s="21">
        <f t="shared" si="7"/>
        <v>0.13291281225488463</v>
      </c>
      <c r="J21" s="21">
        <f t="shared" si="7"/>
        <v>0.13224983337397472</v>
      </c>
      <c r="K21" s="21">
        <f t="shared" si="7"/>
        <v>0.13266827075632873</v>
      </c>
      <c r="L21" s="21">
        <f t="shared" si="7"/>
        <v>0.13301209598998001</v>
      </c>
      <c r="M21" s="21">
        <f t="shared" si="7"/>
        <v>0.13528637148834807</v>
      </c>
      <c r="N21" s="21">
        <f t="shared" si="7"/>
        <v>0.14839697550720554</v>
      </c>
      <c r="Q21" s="29"/>
    </row>
    <row r="22" spans="2:17">
      <c r="Q22" s="29"/>
    </row>
    <row r="23" spans="2:17">
      <c r="B23" t="s">
        <v>175</v>
      </c>
      <c r="D23" s="30"/>
      <c r="E23" s="30">
        <f>'3-Statement Model'!J158</f>
        <v>598.54061865644621</v>
      </c>
      <c r="F23" s="30">
        <f>'3-Statement Model'!K158</f>
        <v>640.68502700231011</v>
      </c>
      <c r="G23" s="30">
        <f>'3-Statement Model'!L158</f>
        <v>684.13744034579736</v>
      </c>
      <c r="H23" s="30">
        <f>'3-Statement Model'!M158</f>
        <v>694.98904609332044</v>
      </c>
      <c r="I23" s="30">
        <f>'3-Statement Model'!N158</f>
        <v>661.23679535512224</v>
      </c>
      <c r="J23" s="30">
        <f>'3-Statement Model'!O158</f>
        <v>706.51366484037908</v>
      </c>
      <c r="K23" s="30">
        <f>'3-Statement Model'!P158</f>
        <v>729.64321335998159</v>
      </c>
      <c r="L23" s="30">
        <f>'3-Statement Model'!Q158</f>
        <v>751.04450449164824</v>
      </c>
      <c r="M23" s="30">
        <f>'3-Statement Model'!R158</f>
        <v>728.48744035258608</v>
      </c>
      <c r="N23" s="30">
        <f>'3-Statement Model'!S158</f>
        <v>466.22567676479241</v>
      </c>
      <c r="Q23" s="29"/>
    </row>
    <row r="24" spans="2:17">
      <c r="B24" t="s">
        <v>60</v>
      </c>
      <c r="D24" s="30"/>
      <c r="E24" s="30">
        <f>'3-Statement Model'!J159</f>
        <v>-0.62103703372390129</v>
      </c>
      <c r="F24" s="30">
        <f>'3-Statement Model'!K159</f>
        <v>2.2911886393635044</v>
      </c>
      <c r="G24" s="30">
        <f>'3-Statement Model'!L159</f>
        <v>3.0543597965541807</v>
      </c>
      <c r="H24" s="30">
        <f>'3-Statement Model'!M159</f>
        <v>2.9775481798405465</v>
      </c>
      <c r="I24" s="30">
        <f>'3-Statement Model'!N159</f>
        <v>2.8555237553097399</v>
      </c>
      <c r="J24" s="30">
        <f>'3-Statement Model'!O159</f>
        <v>2.7174296320706475</v>
      </c>
      <c r="K24" s="30">
        <f>'3-Statement Model'!P159</f>
        <v>2.5421399280118919</v>
      </c>
      <c r="L24" s="30">
        <f>'3-Statement Model'!Q159</f>
        <v>2.3304580421793304</v>
      </c>
      <c r="M24" s="30">
        <f>'3-Statement Model'!R159</f>
        <v>2.0840296855928315</v>
      </c>
      <c r="N24" s="30">
        <f>'3-Statement Model'!S159</f>
        <v>1.8053445934556009</v>
      </c>
      <c r="Q24" s="29"/>
    </row>
    <row r="25" spans="2:17">
      <c r="B25" s="29" t="s">
        <v>43</v>
      </c>
      <c r="D25" s="30"/>
      <c r="E25" s="30">
        <f>'3-Statement Model'!J161</f>
        <v>35.96073102596938</v>
      </c>
      <c r="F25" s="30">
        <f>'3-Statement Model'!K161</f>
        <v>-47.451476183202885</v>
      </c>
      <c r="G25" s="30">
        <f>'3-Statement Model'!L161</f>
        <v>-73.371208482802103</v>
      </c>
      <c r="H25" s="30">
        <f>'3-Statement Model'!M161</f>
        <v>-137.8170032531948</v>
      </c>
      <c r="I25" s="30">
        <f>'3-Statement Model'!N161</f>
        <v>-132.16905416998907</v>
      </c>
      <c r="J25" s="30">
        <f>'3-Statement Model'!O161</f>
        <v>-125.77731268263233</v>
      </c>
      <c r="K25" s="30">
        <f>'3-Statement Model'!P161</f>
        <v>-117.66395892463925</v>
      </c>
      <c r="L25" s="30">
        <f>'3-Statement Model'!Q161</f>
        <v>-107.86617854078258</v>
      </c>
      <c r="M25" s="30">
        <f>'3-Statement Model'!R161</f>
        <v>-96.460143920990504</v>
      </c>
      <c r="N25" s="30">
        <f>'3-Statement Model'!S161</f>
        <v>-83.561093450629414</v>
      </c>
    </row>
    <row r="26" spans="2:17">
      <c r="B26" s="29" t="s">
        <v>44</v>
      </c>
      <c r="D26" s="30"/>
      <c r="E26" s="30">
        <f>'3-Statement Model'!J162</f>
        <v>-46.12561020045473</v>
      </c>
      <c r="F26" s="30">
        <f>'3-Statement Model'!K162</f>
        <v>-8.6021970765386868E-2</v>
      </c>
      <c r="G26" s="30">
        <f>'3-Statement Model'!L162</f>
        <v>10.531299376550351</v>
      </c>
      <c r="H26" s="30">
        <f>'3-Statement Model'!M162</f>
        <v>-84.43821620241647</v>
      </c>
      <c r="I26" s="30">
        <f>'3-Statement Model'!N162</f>
        <v>-80.97781048664433</v>
      </c>
      <c r="J26" s="30">
        <f>'3-Statement Model'!O162</f>
        <v>-77.061695371095993</v>
      </c>
      <c r="K26" s="30">
        <f>'3-Statement Model'!P162</f>
        <v>-72.090776670407877</v>
      </c>
      <c r="L26" s="30">
        <f>'3-Statement Model'!Q162</f>
        <v>-66.087837418884874</v>
      </c>
      <c r="M26" s="30">
        <f>'3-Statement Model'!R162</f>
        <v>-59.099547189783607</v>
      </c>
      <c r="N26" s="30">
        <f>'3-Statement Model'!S162</f>
        <v>-51.196510650662958</v>
      </c>
    </row>
    <row r="27" spans="2:17">
      <c r="B27" s="29" t="s">
        <v>45</v>
      </c>
      <c r="D27" s="30"/>
      <c r="E27" s="30">
        <f>'3-Statement Model'!J163</f>
        <v>24.698367893201066</v>
      </c>
      <c r="F27" s="30">
        <f>'3-Statement Model'!K163</f>
        <v>-13.110972158658626</v>
      </c>
      <c r="G27" s="30">
        <f>'3-Statement Model'!L163</f>
        <v>-17.478100915458811</v>
      </c>
      <c r="H27" s="30">
        <f>'3-Statement Model'!M163</f>
        <v>-17.038558334419406</v>
      </c>
      <c r="I27" s="30">
        <f>'3-Statement Model'!N163</f>
        <v>-16.340292462629805</v>
      </c>
      <c r="J27" s="30">
        <f>'3-Statement Model'!O163</f>
        <v>-15.550070228652032</v>
      </c>
      <c r="K27" s="30">
        <f>'3-Statement Model'!P163</f>
        <v>-14.547002043811403</v>
      </c>
      <c r="L27" s="30">
        <f>'3-Statement Model'!Q163</f>
        <v>-13.335685234727521</v>
      </c>
      <c r="M27" s="30">
        <f>'3-Statement Model'!R163</f>
        <v>-11.925537127844791</v>
      </c>
      <c r="N27" s="30">
        <f>'3-Statement Model'!S163</f>
        <v>-10.330804847285208</v>
      </c>
    </row>
    <row r="28" spans="2:17">
      <c r="B28" s="29" t="s">
        <v>46</v>
      </c>
      <c r="D28" s="30"/>
      <c r="E28" s="30">
        <f>'3-Statement Model'!J164</f>
        <v>0</v>
      </c>
      <c r="F28" s="30">
        <f>'3-Statement Model'!K164</f>
        <v>0</v>
      </c>
      <c r="G28" s="30">
        <f>'3-Statement Model'!L164</f>
        <v>0</v>
      </c>
      <c r="H28" s="30">
        <f>'3-Statement Model'!M164</f>
        <v>0</v>
      </c>
      <c r="I28" s="30">
        <f>'3-Statement Model'!N164</f>
        <v>0</v>
      </c>
      <c r="J28" s="30">
        <f>'3-Statement Model'!O164</f>
        <v>0</v>
      </c>
      <c r="K28" s="30">
        <f>'3-Statement Model'!P164</f>
        <v>0</v>
      </c>
      <c r="L28" s="30">
        <f>'3-Statement Model'!Q164</f>
        <v>0</v>
      </c>
      <c r="M28" s="30">
        <f>'3-Statement Model'!R164</f>
        <v>0</v>
      </c>
      <c r="N28" s="30">
        <f>'3-Statement Model'!S164</f>
        <v>0</v>
      </c>
    </row>
    <row r="29" spans="2:17">
      <c r="B29" s="29" t="s">
        <v>56</v>
      </c>
      <c r="D29" s="30"/>
      <c r="E29" s="30">
        <f>'3-Statement Model'!J165</f>
        <v>-96.279511839635916</v>
      </c>
      <c r="F29" s="30">
        <f>'3-Statement Model'!K165</f>
        <v>47.06460567353929</v>
      </c>
      <c r="G29" s="30">
        <f>'3-Statement Model'!L165</f>
        <v>77.615656185416583</v>
      </c>
      <c r="H29" s="30">
        <f>'3-Statement Model'!M165</f>
        <v>75.663763012707705</v>
      </c>
      <c r="I29" s="30">
        <f>'3-Statement Model'!N165</f>
        <v>72.562947649929583</v>
      </c>
      <c r="J29" s="30">
        <f>'3-Statement Model'!O165</f>
        <v>69.053778231629849</v>
      </c>
      <c r="K29" s="30">
        <f>'3-Statement Model'!P165</f>
        <v>64.59941584170565</v>
      </c>
      <c r="L29" s="30">
        <f>'3-Statement Model'!Q165</f>
        <v>59.220276000356307</v>
      </c>
      <c r="M29" s="30">
        <f>'3-Statement Model'!R165</f>
        <v>52.958178581206766</v>
      </c>
      <c r="N29" s="30">
        <f>'3-Statement Model'!S165</f>
        <v>45.876391321000483</v>
      </c>
    </row>
    <row r="30" spans="2:17">
      <c r="B30" s="29" t="s">
        <v>57</v>
      </c>
      <c r="D30" s="30"/>
      <c r="E30" s="30">
        <f>'3-Statement Model'!J166</f>
        <v>2.360593787479047</v>
      </c>
      <c r="F30" s="30">
        <f>'3-Statement Model'!K166</f>
        <v>33.001733709239147</v>
      </c>
      <c r="G30" s="30">
        <f>'3-Statement Model'!L166</f>
        <v>43.994268706783146</v>
      </c>
      <c r="H30" s="30">
        <f>'3-Statement Model'!M166</f>
        <v>42.887892532858132</v>
      </c>
      <c r="I30" s="30">
        <f>'3-Statement Model'!N166</f>
        <v>41.130281878194864</v>
      </c>
      <c r="J30" s="30">
        <f>'3-Statement Model'!O166</f>
        <v>39.141207122999845</v>
      </c>
      <c r="K30" s="30">
        <f>'3-Statement Model'!P166</f>
        <v>36.616376109118164</v>
      </c>
      <c r="L30" s="30">
        <f>'3-Statement Model'!Q166</f>
        <v>33.567360804443638</v>
      </c>
      <c r="M30" s="30">
        <f>'3-Statement Model'!R166</f>
        <v>30.017865637283421</v>
      </c>
      <c r="N30" s="30">
        <f>'3-Statement Model'!S166</f>
        <v>26.003752158612201</v>
      </c>
    </row>
    <row r="31" spans="2:17">
      <c r="B31" s="29" t="s">
        <v>59</v>
      </c>
      <c r="D31" s="30"/>
      <c r="E31" s="30">
        <f>'3-Statement Model'!J167</f>
        <v>0</v>
      </c>
      <c r="F31" s="30">
        <f>'3-Statement Model'!K167</f>
        <v>0</v>
      </c>
      <c r="G31" s="30">
        <f>'3-Statement Model'!L167</f>
        <v>0</v>
      </c>
      <c r="H31" s="30">
        <f>'3-Statement Model'!M167</f>
        <v>0</v>
      </c>
      <c r="I31" s="30">
        <f>'3-Statement Model'!N167</f>
        <v>0</v>
      </c>
      <c r="J31" s="30">
        <f>'3-Statement Model'!O167</f>
        <v>0</v>
      </c>
      <c r="K31" s="30">
        <f>'3-Statement Model'!P167</f>
        <v>0</v>
      </c>
      <c r="L31" s="30">
        <f>'3-Statement Model'!Q167</f>
        <v>0</v>
      </c>
      <c r="M31" s="30">
        <f>'3-Statement Model'!R167</f>
        <v>0</v>
      </c>
      <c r="N31" s="30">
        <f>'3-Statement Model'!S167</f>
        <v>0</v>
      </c>
    </row>
    <row r="32" spans="2:17"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2:15">
      <c r="B33" t="s">
        <v>79</v>
      </c>
      <c r="D33" s="116"/>
      <c r="E33" s="116">
        <f>'3-Statement Model'!J172</f>
        <v>-498.20841467836948</v>
      </c>
      <c r="F33" s="116">
        <f>'3-Statement Model'!K172</f>
        <v>-522.68374183815627</v>
      </c>
      <c r="G33" s="116">
        <f>'3-Statement Model'!L172</f>
        <v>-555.31154646323989</v>
      </c>
      <c r="H33" s="116">
        <f>'3-Statement Model'!M172</f>
        <v>-587.11882089869209</v>
      </c>
      <c r="I33" s="116">
        <f>'3-Statement Model'!N172</f>
        <v>-576.64831766343764</v>
      </c>
      <c r="J33" s="116">
        <f>'3-Statement Model'!O172</f>
        <v>-597.7342990453667</v>
      </c>
      <c r="K33" s="116">
        <f>'3-Statement Model'!P172</f>
        <v>-565.62111860607047</v>
      </c>
      <c r="L33" s="116">
        <f>'3-Statement Model'!Q172</f>
        <v>-526.74438882779054</v>
      </c>
      <c r="M33" s="116">
        <f>'3-Statement Model'!R172</f>
        <v>-481.46511971434245</v>
      </c>
      <c r="N33" s="116">
        <f>'3-Statement Model'!S172</f>
        <v>-430.2964440406821</v>
      </c>
    </row>
    <row r="34" spans="2:15">
      <c r="B34" t="s">
        <v>5</v>
      </c>
      <c r="D34" s="20"/>
      <c r="E34" s="20">
        <f t="shared" ref="E34:N34" si="8">-E33/E4</f>
        <v>4.4029983955271974E-2</v>
      </c>
      <c r="F34" s="20">
        <f t="shared" si="8"/>
        <v>4.3880673664165641E-2</v>
      </c>
      <c r="G34" s="20">
        <f t="shared" si="8"/>
        <v>4.3703421983934086E-2</v>
      </c>
      <c r="H34" s="20">
        <f t="shared" si="8"/>
        <v>4.3550748263964663E-2</v>
      </c>
      <c r="I34" s="20">
        <f t="shared" si="8"/>
        <v>4.0539393728395309E-2</v>
      </c>
      <c r="J34" s="20">
        <f t="shared" si="8"/>
        <v>4.0031514982716246E-2</v>
      </c>
      <c r="K34" s="20">
        <f t="shared" si="8"/>
        <v>3.6273636237037186E-2</v>
      </c>
      <c r="L34" s="20">
        <f t="shared" si="8"/>
        <v>3.251575749135812E-2</v>
      </c>
      <c r="M34" s="20">
        <f t="shared" si="8"/>
        <v>2.8757878745679061E-2</v>
      </c>
      <c r="N34" s="20">
        <f t="shared" si="8"/>
        <v>2.5000000000000005E-2</v>
      </c>
    </row>
    <row r="35" spans="2:15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2:15">
      <c r="B36" t="s">
        <v>177</v>
      </c>
      <c r="D36" s="116"/>
      <c r="E36" s="116">
        <f>'3-Statement Model'!J173</f>
        <v>-25.047569614085607</v>
      </c>
      <c r="F36" s="116">
        <f>'3-Statement Model'!K173</f>
        <v>-26.36748855943792</v>
      </c>
      <c r="G36" s="116">
        <f>'3-Statement Model'!L173</f>
        <v>-28.127058807007874</v>
      </c>
      <c r="H36" s="116">
        <f>'3-Statement Model'!M173</f>
        <v>-29.842379049850308</v>
      </c>
      <c r="I36" s="116">
        <f>'3-Statement Model'!N173</f>
        <v>-31.487402876689796</v>
      </c>
      <c r="J36" s="116">
        <f>'3-Statement Model'!O173</f>
        <v>-33.052872778385989</v>
      </c>
      <c r="K36" s="116">
        <f>'3-Statement Model'!P173</f>
        <v>-34.517360946261853</v>
      </c>
      <c r="L36" s="116">
        <f>'3-Statement Model'!Q173</f>
        <v>-35.859902397617724</v>
      </c>
      <c r="M36" s="116">
        <f>'3-Statement Model'!R173</f>
        <v>-37.060480218854984</v>
      </c>
      <c r="N36" s="116">
        <f>'3-Statement Model'!S173</f>
        <v>-38.100511794977585</v>
      </c>
      <c r="O36" s="30"/>
    </row>
    <row r="37" spans="2:15">
      <c r="B37" t="s">
        <v>5</v>
      </c>
      <c r="D37" s="20"/>
      <c r="E37" s="20">
        <f t="shared" ref="E37:N37" si="9">-E36/E4</f>
        <v>2.2136199544897589E-3</v>
      </c>
      <c r="F37" s="20">
        <f t="shared" si="9"/>
        <v>2.2136199544897589E-3</v>
      </c>
      <c r="G37" s="20">
        <f t="shared" si="9"/>
        <v>2.2136199544897589E-3</v>
      </c>
      <c r="H37" s="20">
        <f t="shared" si="9"/>
        <v>2.2136199544897589E-3</v>
      </c>
      <c r="I37" s="20">
        <f t="shared" si="9"/>
        <v>2.2136199544897589E-3</v>
      </c>
      <c r="J37" s="20">
        <f t="shared" si="9"/>
        <v>2.2136199544897594E-3</v>
      </c>
      <c r="K37" s="20">
        <f t="shared" si="9"/>
        <v>2.2136199544897589E-3</v>
      </c>
      <c r="L37" s="20">
        <f t="shared" si="9"/>
        <v>2.2136199544897589E-3</v>
      </c>
      <c r="M37" s="20">
        <f t="shared" si="9"/>
        <v>2.2136199544897589E-3</v>
      </c>
      <c r="N37" s="20">
        <f t="shared" si="9"/>
        <v>2.2136199544897589E-3</v>
      </c>
      <c r="O37" s="30"/>
    </row>
    <row r="38" spans="2:15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30"/>
    </row>
    <row r="39" spans="2:15">
      <c r="B39" t="s">
        <v>178</v>
      </c>
      <c r="D39" s="116"/>
      <c r="E39" s="116">
        <f>'3-Statement Model'!J174</f>
        <v>-253.78019999999998</v>
      </c>
      <c r="F39" s="116">
        <f>'3-Statement Model'!K174</f>
        <v>-317.03763201694773</v>
      </c>
      <c r="G39" s="116">
        <f>'3-Statement Model'!L174</f>
        <v>-333.74440170902511</v>
      </c>
      <c r="H39" s="116">
        <f>'3-Statement Model'!M174</f>
        <v>-356.01602299811589</v>
      </c>
      <c r="I39" s="116">
        <f>'3-Statement Model'!N174</f>
        <v>-377.72755335097219</v>
      </c>
      <c r="J39" s="116">
        <f>'3-Statement Model'!O174</f>
        <v>-341.38546117991785</v>
      </c>
      <c r="K39" s="116">
        <f>'3-Statement Model'!P174</f>
        <v>-298.63186507102751</v>
      </c>
      <c r="L39" s="116">
        <f>'3-Statement Model'!Q174</f>
        <v>-218.30443489973592</v>
      </c>
      <c r="M39" s="116">
        <f>'3-Statement Model'!R174</f>
        <v>-97.197991890753784</v>
      </c>
      <c r="N39" s="116">
        <f>'3-Statement Model'!S174</f>
        <v>0</v>
      </c>
    </row>
    <row r="40" spans="2:15">
      <c r="B40" t="s">
        <v>5</v>
      </c>
      <c r="D40" s="20"/>
      <c r="E40" s="20">
        <f t="shared" ref="E40:N40" si="10">-E39/E4</f>
        <v>2.2428240481203673E-2</v>
      </c>
      <c r="F40" s="20">
        <f t="shared" si="10"/>
        <v>2.6616142336608535E-2</v>
      </c>
      <c r="G40" s="20">
        <f t="shared" si="10"/>
        <v>2.6265926785714107E-2</v>
      </c>
      <c r="H40" s="20">
        <f t="shared" si="10"/>
        <v>2.6408222055964648E-2</v>
      </c>
      <c r="I40" s="20">
        <f t="shared" si="10"/>
        <v>2.6554913173779331E-2</v>
      </c>
      <c r="J40" s="20">
        <f t="shared" si="10"/>
        <v>2.2863297665754571E-2</v>
      </c>
      <c r="K40" s="20">
        <f t="shared" si="10"/>
        <v>1.9151448356578681E-2</v>
      </c>
      <c r="L40" s="20">
        <f t="shared" si="10"/>
        <v>1.3475860806575124E-2</v>
      </c>
      <c r="M40" s="20">
        <f t="shared" si="10"/>
        <v>5.8056294229085915E-3</v>
      </c>
      <c r="N40" s="20">
        <f t="shared" si="10"/>
        <v>0</v>
      </c>
    </row>
    <row r="41" spans="2:15"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2:15">
      <c r="B42" s="3" t="s">
        <v>179</v>
      </c>
      <c r="D42" s="48"/>
      <c r="E42" s="48">
        <f>E20+SUM(E23:E31)+E33+E36+E39</f>
        <v>997.86171141786485</v>
      </c>
      <c r="F42" s="48">
        <f t="shared" ref="F42:N42" si="11">F20+SUM(F23:F31)+F33+F36+F39</f>
        <v>1214.99747664646</v>
      </c>
      <c r="G42" s="48">
        <f t="shared" si="11"/>
        <v>1395.1052021598932</v>
      </c>
      <c r="H42" s="48">
        <f t="shared" si="11"/>
        <v>1341.5630961130603</v>
      </c>
      <c r="I42" s="48">
        <f t="shared" si="11"/>
        <v>1453.0393554762613</v>
      </c>
      <c r="J42" s="48">
        <f t="shared" si="11"/>
        <v>1601.565088331163</v>
      </c>
      <c r="K42" s="48">
        <f t="shared" si="11"/>
        <v>1799.0484827327066</v>
      </c>
      <c r="L42" s="48">
        <f t="shared" si="11"/>
        <v>2032.7156099201288</v>
      </c>
      <c r="M42" s="48">
        <f t="shared" si="11"/>
        <v>2295.3064833827675</v>
      </c>
      <c r="N42" s="48">
        <f t="shared" si="11"/>
        <v>2480.6134347393327</v>
      </c>
    </row>
    <row r="45" spans="2:15">
      <c r="B45" t="s">
        <v>180</v>
      </c>
      <c r="D45" s="82">
        <v>45657</v>
      </c>
    </row>
    <row r="46" spans="2:15">
      <c r="B46" t="s">
        <v>181</v>
      </c>
      <c r="D46" s="82">
        <v>46022</v>
      </c>
    </row>
    <row r="47" spans="2:15">
      <c r="B47" t="s">
        <v>182</v>
      </c>
      <c r="D47" s="82">
        <v>45961</v>
      </c>
    </row>
    <row r="48" spans="2:15">
      <c r="B48" t="s">
        <v>183</v>
      </c>
      <c r="D48" s="20">
        <f>YEARFRAC(D47,D46)</f>
        <v>0.16666666666666666</v>
      </c>
    </row>
    <row r="49" spans="2:15">
      <c r="B49" t="s">
        <v>184</v>
      </c>
      <c r="D49" s="30">
        <f>N59</f>
        <v>2480.6134347393327</v>
      </c>
    </row>
    <row r="50" spans="2:15">
      <c r="B50" t="s">
        <v>185</v>
      </c>
      <c r="D50" s="30">
        <f>N14+N23</f>
        <v>3666.1257032266094</v>
      </c>
    </row>
    <row r="51" spans="2:15">
      <c r="B51" t="s">
        <v>186</v>
      </c>
      <c r="D51" s="103">
        <f>WACC!D23</f>
        <v>8.0719126499999988E-2</v>
      </c>
    </row>
    <row r="53" spans="2:15">
      <c r="B53" t="s">
        <v>187</v>
      </c>
      <c r="D53" s="82">
        <v>45657</v>
      </c>
      <c r="E53" s="82">
        <v>46022</v>
      </c>
      <c r="F53" s="82">
        <v>46387</v>
      </c>
      <c r="G53" s="82">
        <v>46752</v>
      </c>
      <c r="H53" s="82">
        <v>47118</v>
      </c>
      <c r="I53" s="82">
        <v>47483</v>
      </c>
      <c r="J53" s="82">
        <v>47848</v>
      </c>
      <c r="K53" s="82">
        <v>48213</v>
      </c>
      <c r="L53" s="82">
        <v>48579</v>
      </c>
      <c r="M53" s="82">
        <v>48944</v>
      </c>
      <c r="N53" s="82">
        <v>49309</v>
      </c>
    </row>
    <row r="54" spans="2:15"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</row>
    <row r="55" spans="2:15">
      <c r="B55" s="3" t="s">
        <v>179</v>
      </c>
      <c r="C55" s="3"/>
      <c r="D55" s="3"/>
      <c r="E55" s="48">
        <f>E42</f>
        <v>997.86171141786485</v>
      </c>
      <c r="F55" s="48">
        <f t="shared" ref="F55:M55" si="12">F42</f>
        <v>1214.99747664646</v>
      </c>
      <c r="G55" s="48">
        <f t="shared" si="12"/>
        <v>1395.1052021598932</v>
      </c>
      <c r="H55" s="48">
        <f t="shared" si="12"/>
        <v>1341.5630961130603</v>
      </c>
      <c r="I55" s="48">
        <f t="shared" si="12"/>
        <v>1453.0393554762613</v>
      </c>
      <c r="J55" s="48">
        <f t="shared" si="12"/>
        <v>1601.565088331163</v>
      </c>
      <c r="K55" s="48">
        <f t="shared" si="12"/>
        <v>1799.0484827327066</v>
      </c>
      <c r="L55" s="48">
        <f t="shared" si="12"/>
        <v>2032.7156099201288</v>
      </c>
      <c r="M55" s="48">
        <f t="shared" si="12"/>
        <v>2295.3064833827675</v>
      </c>
      <c r="N55" s="48">
        <f>N42</f>
        <v>2480.6134347393327</v>
      </c>
    </row>
    <row r="57" spans="2:15">
      <c r="D57" s="9" t="s">
        <v>188</v>
      </c>
      <c r="E57" s="83">
        <v>1</v>
      </c>
      <c r="F57" s="83">
        <f>E57+1</f>
        <v>2</v>
      </c>
      <c r="G57" s="83">
        <f t="shared" ref="G57:N57" si="13">F57+1</f>
        <v>3</v>
      </c>
      <c r="H57" s="83">
        <f t="shared" si="13"/>
        <v>4</v>
      </c>
      <c r="I57" s="83">
        <f t="shared" si="13"/>
        <v>5</v>
      </c>
      <c r="J57" s="83">
        <f t="shared" si="13"/>
        <v>6</v>
      </c>
      <c r="K57" s="83">
        <f t="shared" si="13"/>
        <v>7</v>
      </c>
      <c r="L57" s="83">
        <f t="shared" si="13"/>
        <v>8</v>
      </c>
      <c r="M57" s="83">
        <f t="shared" si="13"/>
        <v>9</v>
      </c>
      <c r="N57" s="83">
        <f t="shared" si="13"/>
        <v>10</v>
      </c>
    </row>
    <row r="58" spans="2:15">
      <c r="B58" t="s">
        <v>189</v>
      </c>
      <c r="D58" s="84">
        <v>45982</v>
      </c>
      <c r="E58" s="84">
        <f>AVERAGE(D58,E53)</f>
        <v>46002</v>
      </c>
      <c r="F58" s="84">
        <f>AVERAGE(E53,F53)</f>
        <v>46204.5</v>
      </c>
      <c r="G58" s="84">
        <f t="shared" ref="G58:N58" si="14">AVERAGE(F53,G53)</f>
        <v>46569.5</v>
      </c>
      <c r="H58" s="84">
        <f t="shared" si="14"/>
        <v>46935</v>
      </c>
      <c r="I58" s="84">
        <f t="shared" si="14"/>
        <v>47300.5</v>
      </c>
      <c r="J58" s="84">
        <f t="shared" si="14"/>
        <v>47665.5</v>
      </c>
      <c r="K58" s="84">
        <f t="shared" si="14"/>
        <v>48030.5</v>
      </c>
      <c r="L58" s="84">
        <f t="shared" si="14"/>
        <v>48396</v>
      </c>
      <c r="M58" s="84">
        <f t="shared" si="14"/>
        <v>48761.5</v>
      </c>
      <c r="N58" s="84">
        <f t="shared" si="14"/>
        <v>49126.5</v>
      </c>
    </row>
    <row r="59" spans="2:15">
      <c r="B59" t="s">
        <v>190</v>
      </c>
      <c r="C59" s="20"/>
      <c r="D59" s="9"/>
      <c r="E59" s="6">
        <f>((E58-D58)/366)*E55</f>
        <v>54.527962372560921</v>
      </c>
      <c r="F59" s="6">
        <f>((F58-E58)/365)*F55</f>
        <v>674.07394252303595</v>
      </c>
      <c r="G59" s="6">
        <f t="shared" ref="G59:M59" si="15">((G58-F58)/365)*G55</f>
        <v>1395.1052021598932</v>
      </c>
      <c r="H59" s="6">
        <f t="shared" si="15"/>
        <v>1343.4008537789687</v>
      </c>
      <c r="I59" s="6">
        <f t="shared" si="15"/>
        <v>1455.0298203467769</v>
      </c>
      <c r="J59" s="6">
        <f t="shared" si="15"/>
        <v>1601.565088331163</v>
      </c>
      <c r="K59" s="6">
        <f t="shared" si="15"/>
        <v>1799.0484827327066</v>
      </c>
      <c r="L59" s="6">
        <f t="shared" si="15"/>
        <v>2035.5001518515264</v>
      </c>
      <c r="M59" s="6">
        <f t="shared" si="15"/>
        <v>2298.4507388394563</v>
      </c>
      <c r="N59" s="6">
        <f>((N58-M58)/365)*N55</f>
        <v>2480.6134347393327</v>
      </c>
    </row>
    <row r="60" spans="2:15">
      <c r="B60" s="3" t="s">
        <v>191</v>
      </c>
      <c r="E60" s="52">
        <f>E59/((1+$D$51)^((E58-$D$58)/365))</f>
        <v>54.296519353329487</v>
      </c>
      <c r="F60" s="52">
        <f t="shared" ref="F60:N60" si="16">F59/((1+$D$51)^((F58-$D$58)/365))</f>
        <v>642.91944731317881</v>
      </c>
      <c r="G60" s="52">
        <f t="shared" si="16"/>
        <v>1231.2412130754237</v>
      </c>
      <c r="H60" s="52">
        <f t="shared" si="16"/>
        <v>1096.9397801739524</v>
      </c>
      <c r="I60" s="52">
        <f t="shared" si="16"/>
        <v>1099.2337163504478</v>
      </c>
      <c r="J60" s="52">
        <f t="shared" si="16"/>
        <v>1119.5665192204942</v>
      </c>
      <c r="K60" s="52">
        <f t="shared" si="16"/>
        <v>1163.6847387658268</v>
      </c>
      <c r="L60" s="52">
        <f t="shared" si="16"/>
        <v>1218.1607185775088</v>
      </c>
      <c r="M60" s="52">
        <f t="shared" si="16"/>
        <v>1272.6519064474523</v>
      </c>
      <c r="N60" s="52">
        <f t="shared" si="16"/>
        <v>1270.9272337976834</v>
      </c>
    </row>
    <row r="62" spans="2:15">
      <c r="B62" t="s">
        <v>192</v>
      </c>
      <c r="E62" s="85">
        <f>(E58-$D$58)/365</f>
        <v>5.4794520547945202E-2</v>
      </c>
      <c r="F62" s="85">
        <f t="shared" ref="F62:N62" si="17">(F58-$D$58)/365</f>
        <v>0.6095890410958904</v>
      </c>
      <c r="G62" s="85">
        <f t="shared" si="17"/>
        <v>1.6095890410958904</v>
      </c>
      <c r="H62" s="85">
        <f t="shared" si="17"/>
        <v>2.6109589041095891</v>
      </c>
      <c r="I62" s="85">
        <f t="shared" si="17"/>
        <v>3.6123287671232878</v>
      </c>
      <c r="J62" s="85">
        <f t="shared" si="17"/>
        <v>4.6123287671232873</v>
      </c>
      <c r="K62" s="85">
        <f t="shared" si="17"/>
        <v>5.6123287671232873</v>
      </c>
      <c r="L62" s="85">
        <f t="shared" si="17"/>
        <v>6.6136986301369864</v>
      </c>
      <c r="M62" s="85">
        <f t="shared" si="17"/>
        <v>7.6150684931506847</v>
      </c>
      <c r="N62" s="85">
        <f t="shared" si="17"/>
        <v>8.6150684931506856</v>
      </c>
    </row>
    <row r="64" spans="2:15">
      <c r="B64" s="3" t="s">
        <v>193</v>
      </c>
    </row>
    <row r="65" spans="2:3">
      <c r="B65" t="s">
        <v>194</v>
      </c>
      <c r="C65" s="87">
        <v>2.8000000000000001E-2</v>
      </c>
    </row>
    <row r="66" spans="2:3">
      <c r="B66" t="s">
        <v>195</v>
      </c>
      <c r="C66" s="30">
        <f>N59*(1+C65)</f>
        <v>2550.0706109120342</v>
      </c>
    </row>
    <row r="67" spans="2:3">
      <c r="B67" t="s">
        <v>196</v>
      </c>
      <c r="C67" s="30">
        <f>C66/(D51-C65)</f>
        <v>48370.881314052778</v>
      </c>
    </row>
    <row r="68" spans="2:3">
      <c r="B68" t="s">
        <v>197</v>
      </c>
      <c r="C68" s="30">
        <f>C67/(1+D51)^((N58-D58)/365)</f>
        <v>24782.527387740742</v>
      </c>
    </row>
    <row r="69" spans="2:3">
      <c r="B69" t="s">
        <v>198</v>
      </c>
      <c r="C69" s="30">
        <f>SUM(E60:N60)</f>
        <v>10169.621793075297</v>
      </c>
    </row>
    <row r="70" spans="2:3">
      <c r="B70" s="3" t="s">
        <v>199</v>
      </c>
      <c r="C70" s="48">
        <f>C68+C69</f>
        <v>34952.149180816035</v>
      </c>
    </row>
    <row r="72" spans="2:3">
      <c r="B72" s="7" t="s">
        <v>200</v>
      </c>
      <c r="C72" s="21">
        <f>C68/C70</f>
        <v>0.70904158881717549</v>
      </c>
    </row>
    <row r="73" spans="2:3">
      <c r="B73" s="7" t="s">
        <v>201</v>
      </c>
      <c r="C73" s="21">
        <f>C69/C70</f>
        <v>0.29095841118282456</v>
      </c>
    </row>
    <row r="74" spans="2:3">
      <c r="B74" t="s">
        <v>202</v>
      </c>
      <c r="C74" s="88">
        <f>C67/D50</f>
        <v>13.194005124123507</v>
      </c>
    </row>
    <row r="76" spans="2:3">
      <c r="B76" s="3" t="s">
        <v>203</v>
      </c>
    </row>
    <row r="77" spans="2:3">
      <c r="B77" t="s">
        <v>204</v>
      </c>
      <c r="C77" s="30">
        <f>D50</f>
        <v>3666.1257032266094</v>
      </c>
    </row>
    <row r="78" spans="2:3">
      <c r="B78" t="s">
        <v>205</v>
      </c>
      <c r="C78" s="89">
        <v>13.1</v>
      </c>
    </row>
    <row r="79" spans="2:3">
      <c r="B79" t="s">
        <v>196</v>
      </c>
      <c r="C79" s="30">
        <f>C77*C78</f>
        <v>48026.246712268585</v>
      </c>
    </row>
    <row r="80" spans="2:3">
      <c r="B80" t="s">
        <v>206</v>
      </c>
      <c r="C80" s="30">
        <f>C79/(1+D51)^((N58-D58)/365)</f>
        <v>24605.955941749773</v>
      </c>
    </row>
    <row r="81" spans="2:4">
      <c r="B81" t="s">
        <v>207</v>
      </c>
      <c r="C81" s="30">
        <f>SUM(E60:N60)</f>
        <v>10169.621793075297</v>
      </c>
    </row>
    <row r="82" spans="2:4">
      <c r="B82" t="s">
        <v>208</v>
      </c>
      <c r="C82" s="48">
        <f>C80+C81</f>
        <v>34775.57773482507</v>
      </c>
    </row>
    <row r="84" spans="2:4">
      <c r="B84" t="s">
        <v>209</v>
      </c>
      <c r="C84" s="21">
        <f>C80/C82</f>
        <v>0.70756426045249565</v>
      </c>
    </row>
    <row r="85" spans="2:4">
      <c r="B85" t="s">
        <v>210</v>
      </c>
      <c r="C85" s="21">
        <f>C81/C82</f>
        <v>0.2924357395475044</v>
      </c>
    </row>
    <row r="86" spans="2:4">
      <c r="B86" t="s">
        <v>211</v>
      </c>
      <c r="C86" s="199">
        <f>(C78*D51-D49/D50)/(C78+D49/D50)</f>
        <v>2.764026995313398E-2</v>
      </c>
      <c r="D86" s="91"/>
    </row>
    <row r="88" spans="2:4">
      <c r="B88" s="3" t="s">
        <v>212</v>
      </c>
    </row>
    <row r="90" spans="2:4">
      <c r="B90" s="3" t="s">
        <v>213</v>
      </c>
      <c r="C90" s="48">
        <f>C70</f>
        <v>34952.149180816035</v>
      </c>
    </row>
    <row r="91" spans="2:4">
      <c r="B91" s="29" t="s">
        <v>214</v>
      </c>
      <c r="C91" s="30">
        <v>520.4</v>
      </c>
    </row>
    <row r="92" spans="2:4">
      <c r="B92" s="29" t="s">
        <v>215</v>
      </c>
      <c r="C92" s="30">
        <f>5.4+79.2</f>
        <v>84.600000000000009</v>
      </c>
    </row>
    <row r="93" spans="2:4">
      <c r="B93" s="29" t="s">
        <v>216</v>
      </c>
      <c r="C93" s="30">
        <v>30</v>
      </c>
    </row>
    <row r="94" spans="2:4">
      <c r="B94" s="29" t="s">
        <v>217</v>
      </c>
      <c r="C94" s="30">
        <v>61.1</v>
      </c>
    </row>
    <row r="95" spans="2:4">
      <c r="B95" s="29" t="s">
        <v>218</v>
      </c>
      <c r="C95" s="30">
        <v>136.80000000000001</v>
      </c>
    </row>
    <row r="96" spans="2:4">
      <c r="B96" s="29" t="s">
        <v>219</v>
      </c>
      <c r="C96" s="30">
        <v>3.1</v>
      </c>
    </row>
    <row r="97" spans="2:3">
      <c r="B97" s="29" t="s">
        <v>220</v>
      </c>
      <c r="C97" s="30">
        <v>20.3</v>
      </c>
    </row>
    <row r="98" spans="2:3">
      <c r="B98" s="29" t="s">
        <v>221</v>
      </c>
      <c r="C98" s="30">
        <v>1073.8</v>
      </c>
    </row>
    <row r="99" spans="2:3">
      <c r="B99" s="29" t="s">
        <v>222</v>
      </c>
      <c r="C99" s="30">
        <v>434.2</v>
      </c>
    </row>
    <row r="100" spans="2:3">
      <c r="B100" s="29" t="s">
        <v>223</v>
      </c>
      <c r="C100" s="30">
        <v>4680</v>
      </c>
    </row>
    <row r="101" spans="2:3">
      <c r="B101" s="29" t="s">
        <v>224</v>
      </c>
      <c r="C101" s="30">
        <v>27.3</v>
      </c>
    </row>
    <row r="102" spans="2:3">
      <c r="B102" s="29" t="s">
        <v>225</v>
      </c>
      <c r="C102" s="30">
        <v>11.1</v>
      </c>
    </row>
    <row r="103" spans="2:3">
      <c r="B103" s="29" t="s">
        <v>226</v>
      </c>
      <c r="C103" s="30">
        <v>345.9</v>
      </c>
    </row>
    <row r="104" spans="2:3">
      <c r="B104" s="29" t="s">
        <v>227</v>
      </c>
      <c r="C104" s="30">
        <v>308.7</v>
      </c>
    </row>
    <row r="105" spans="2:3">
      <c r="B105" s="29" t="s">
        <v>228</v>
      </c>
      <c r="C105" s="30">
        <v>171.5</v>
      </c>
    </row>
    <row r="106" spans="2:3">
      <c r="B106" s="3" t="s">
        <v>229</v>
      </c>
      <c r="C106" s="48">
        <f>C90+C91+C92+C93+C94+C95+C96-C97-C98-C99-C100-C101-C102-C103-C104-C105</f>
        <v>28715.349180816032</v>
      </c>
    </row>
    <row r="107" spans="2:3">
      <c r="B107" s="29" t="s">
        <v>230</v>
      </c>
      <c r="C107" s="153">
        <f>160479293/1000000</f>
        <v>160.47929300000001</v>
      </c>
    </row>
    <row r="108" spans="2:3">
      <c r="B108" s="29" t="s">
        <v>231</v>
      </c>
      <c r="C108" s="153">
        <f>34778/1000000</f>
        <v>3.4778000000000003E-2</v>
      </c>
    </row>
    <row r="109" spans="2:3">
      <c r="B109" s="29" t="s">
        <v>232</v>
      </c>
      <c r="C109" s="153">
        <f>(C107-C108)</f>
        <v>160.44451500000002</v>
      </c>
    </row>
    <row r="110" spans="2:3">
      <c r="B110" s="3" t="s">
        <v>233</v>
      </c>
      <c r="C110" s="86">
        <f>C106/C109</f>
        <v>178.973704279115</v>
      </c>
    </row>
    <row r="113" spans="2:8">
      <c r="B113" s="3" t="s">
        <v>234</v>
      </c>
    </row>
    <row r="115" spans="2:8">
      <c r="F115" s="101" t="s">
        <v>235</v>
      </c>
    </row>
    <row r="116" spans="2:8">
      <c r="B116" s="3"/>
      <c r="C116" s="102">
        <f>C110</f>
        <v>178.973704279115</v>
      </c>
      <c r="D116" s="95">
        <f>E116-0.5%</f>
        <v>0.20299999999999999</v>
      </c>
      <c r="E116" s="95">
        <f>F116-0.5%</f>
        <v>0.20799999999999999</v>
      </c>
      <c r="F116" s="196">
        <v>0.21299999999999999</v>
      </c>
      <c r="G116" s="95">
        <f>F116+0.5%</f>
        <v>0.218</v>
      </c>
      <c r="H116" s="95">
        <f>G116+0.5%</f>
        <v>0.223</v>
      </c>
    </row>
    <row r="117" spans="2:8">
      <c r="C117" s="96">
        <f>C118-0.25%</f>
        <v>2.3000000000000003E-2</v>
      </c>
      <c r="D117" s="97">
        <f t="dataTable" ref="D117:H121" dt2D="1" dtr="1" r1="I8" r2="C65" ca="1"/>
        <v>154.19148056901429</v>
      </c>
      <c r="E117" s="98">
        <v>159.54926717045296</v>
      </c>
      <c r="F117" s="195">
        <v>164.90705377189158</v>
      </c>
      <c r="G117" s="98">
        <v>170.2648403733302</v>
      </c>
      <c r="H117" s="98">
        <v>175.62262697476888</v>
      </c>
    </row>
    <row r="118" spans="2:8">
      <c r="B118" s="3" t="s">
        <v>236</v>
      </c>
      <c r="C118" s="96">
        <f>C119-0.25%</f>
        <v>2.5500000000000002E-2</v>
      </c>
      <c r="D118" s="99">
        <v>160.53447938032573</v>
      </c>
      <c r="E118" s="192">
        <v>166.07821522898442</v>
      </c>
      <c r="F118" s="197">
        <v>171.6219510776431</v>
      </c>
      <c r="G118" s="192">
        <v>177.16568692630173</v>
      </c>
      <c r="H118" s="100">
        <v>182.70942277496047</v>
      </c>
    </row>
    <row r="119" spans="2:8">
      <c r="C119" s="193">
        <v>2.8000000000000001E-2</v>
      </c>
      <c r="D119" s="194">
        <v>167.47906240143152</v>
      </c>
      <c r="E119" s="197">
        <v>173.22638334027329</v>
      </c>
      <c r="F119" s="191">
        <v>178.973704279115</v>
      </c>
      <c r="G119" s="197">
        <v>184.72102521795668</v>
      </c>
      <c r="H119" s="192">
        <v>190.46834615679848</v>
      </c>
    </row>
    <row r="120" spans="2:8">
      <c r="C120" s="96">
        <f>C119+0.25%</f>
        <v>3.0499999999999999E-2</v>
      </c>
      <c r="D120" s="99">
        <v>175.11507352026686</v>
      </c>
      <c r="E120" s="192">
        <v>181.08624922584431</v>
      </c>
      <c r="F120" s="197">
        <v>187.05742493142182</v>
      </c>
      <c r="G120" s="192">
        <v>193.0286006369993</v>
      </c>
      <c r="H120" s="100">
        <v>198.99977634257681</v>
      </c>
    </row>
    <row r="121" spans="2:8">
      <c r="C121" s="96">
        <f>C120+0.25%</f>
        <v>3.3000000000000002E-2</v>
      </c>
      <c r="D121" s="99">
        <v>183.55118427198579</v>
      </c>
      <c r="E121" s="100">
        <v>189.7696701994964</v>
      </c>
      <c r="F121" s="192">
        <v>195.98815612700702</v>
      </c>
      <c r="G121" s="100">
        <v>202.2066420545176</v>
      </c>
      <c r="H121" s="100">
        <v>208.42512798202822</v>
      </c>
    </row>
    <row r="123" spans="2:8">
      <c r="B123" s="3"/>
    </row>
    <row r="125" spans="2:8">
      <c r="F125" s="101" t="s">
        <v>186</v>
      </c>
    </row>
    <row r="126" spans="2:8">
      <c r="B126" s="3"/>
      <c r="C126" s="102">
        <f>C110</f>
        <v>178.973704279115</v>
      </c>
      <c r="D126" s="95">
        <f>E126-0.25%</f>
        <v>7.5719126499999984E-2</v>
      </c>
      <c r="E126" s="95">
        <f>F126-0.25%</f>
        <v>7.8219126499999986E-2</v>
      </c>
      <c r="F126" s="196">
        <v>8.0719126499999988E-2</v>
      </c>
      <c r="G126" s="95">
        <f>F126+0.25%</f>
        <v>8.321912649999999E-2</v>
      </c>
      <c r="H126" s="95">
        <f>G126+0.25%</f>
        <v>8.5719126499999992E-2</v>
      </c>
    </row>
    <row r="127" spans="2:8">
      <c r="C127" s="96">
        <f>C128-0.25%</f>
        <v>2.3000000000000003E-2</v>
      </c>
      <c r="D127" s="97">
        <f t="dataTable" ref="D127:H131" dt2D="1" dtr="1" r1="D51" r2="C65"/>
        <v>185.94203259652153</v>
      </c>
      <c r="E127" s="98">
        <v>174.94188949859762</v>
      </c>
      <c r="F127" s="195">
        <v>164.90705377189158</v>
      </c>
      <c r="G127" s="98">
        <v>155.71708369017651</v>
      </c>
      <c r="H127" s="98">
        <v>147.27074527974275</v>
      </c>
    </row>
    <row r="128" spans="2:8">
      <c r="B128" s="3" t="s">
        <v>236</v>
      </c>
      <c r="C128" s="96">
        <f>C129-0.25%</f>
        <v>2.5500000000000002E-2</v>
      </c>
      <c r="D128" s="99">
        <v>194.31631577345865</v>
      </c>
      <c r="E128" s="192">
        <v>182.42444939724376</v>
      </c>
      <c r="F128" s="197">
        <v>171.6219510776431</v>
      </c>
      <c r="G128" s="192">
        <v>161.76704880877458</v>
      </c>
      <c r="H128" s="100">
        <v>152.74151771822304</v>
      </c>
    </row>
    <row r="129" spans="2:8">
      <c r="C129" s="193">
        <v>2.8000000000000001E-2</v>
      </c>
      <c r="D129" s="194">
        <v>203.56805457365999</v>
      </c>
      <c r="E129" s="197">
        <v>190.65200034015328</v>
      </c>
      <c r="F129" s="191">
        <v>178.973704279115</v>
      </c>
      <c r="G129" s="197">
        <v>168.36482819953409</v>
      </c>
      <c r="H129" s="192">
        <v>158.68620346501362</v>
      </c>
    </row>
    <row r="130" spans="2:8">
      <c r="C130" s="96">
        <f>C129+0.25%</f>
        <v>3.0499999999999999E-2</v>
      </c>
      <c r="D130" s="99">
        <v>213.84278292676674</v>
      </c>
      <c r="E130" s="192">
        <v>199.74163233382436</v>
      </c>
      <c r="F130" s="197">
        <v>187.05742493142182</v>
      </c>
      <c r="G130" s="192">
        <v>175.588355760719</v>
      </c>
      <c r="H130" s="100">
        <v>165.16917061207144</v>
      </c>
    </row>
    <row r="131" spans="2:8">
      <c r="C131" s="96">
        <f>C130+0.25%</f>
        <v>3.3000000000000002E-2</v>
      </c>
      <c r="D131" s="99">
        <v>225.32010239009981</v>
      </c>
      <c r="E131" s="100">
        <v>209.83632929637224</v>
      </c>
      <c r="F131" s="192">
        <v>195.98815612700702</v>
      </c>
      <c r="G131" s="100">
        <v>183.53108415877875</v>
      </c>
      <c r="H131" s="100">
        <v>172.26699687928729</v>
      </c>
    </row>
    <row r="135" spans="2:8">
      <c r="F135" s="101" t="s">
        <v>186</v>
      </c>
    </row>
    <row r="136" spans="2:8">
      <c r="B136" s="3"/>
      <c r="C136" s="102">
        <f>C110</f>
        <v>178.973704279115</v>
      </c>
      <c r="D136" s="95">
        <f>E136-0.25%</f>
        <v>7.5719126499999984E-2</v>
      </c>
      <c r="E136" s="95">
        <f>F136-0.25%</f>
        <v>7.8219126499999986E-2</v>
      </c>
      <c r="F136" s="196">
        <v>8.0719126499999988E-2</v>
      </c>
      <c r="G136" s="95">
        <f>F136+0.25%</f>
        <v>8.321912649999999E-2</v>
      </c>
      <c r="H136" s="95">
        <f>G136+0.25%</f>
        <v>8.5719126499999992E-2</v>
      </c>
    </row>
    <row r="137" spans="2:8">
      <c r="C137" s="109">
        <f>C138-0.5</f>
        <v>12.1</v>
      </c>
      <c r="D137" s="97">
        <f t="dataTable" ref="D137:H141" dt2D="1" dtr="1" r1="D51" r2="C78" ca="1"/>
        <v>203.56805457365999</v>
      </c>
      <c r="E137" s="98">
        <v>190.65200034015328</v>
      </c>
      <c r="F137" s="195">
        <v>178.973704279115</v>
      </c>
      <c r="G137" s="98">
        <v>168.36482819953409</v>
      </c>
      <c r="H137" s="98">
        <v>158.68620346501362</v>
      </c>
    </row>
    <row r="138" spans="2:8">
      <c r="B138" s="3" t="s">
        <v>237</v>
      </c>
      <c r="C138" s="109">
        <f>C139-0.5</f>
        <v>12.6</v>
      </c>
      <c r="D138" s="99">
        <v>203.56805457365999</v>
      </c>
      <c r="E138" s="192">
        <v>190.65200034015328</v>
      </c>
      <c r="F138" s="197">
        <v>178.973704279115</v>
      </c>
      <c r="G138" s="192">
        <v>168.36482819953409</v>
      </c>
      <c r="H138" s="100">
        <v>158.68620346501362</v>
      </c>
    </row>
    <row r="139" spans="2:8">
      <c r="C139" s="198">
        <v>13.1</v>
      </c>
      <c r="D139" s="194">
        <v>203.56805457365999</v>
      </c>
      <c r="E139" s="197">
        <v>190.65200034015328</v>
      </c>
      <c r="F139" s="191">
        <v>178.973704279115</v>
      </c>
      <c r="G139" s="197">
        <v>168.36482819953409</v>
      </c>
      <c r="H139" s="192">
        <v>158.68620346501362</v>
      </c>
    </row>
    <row r="140" spans="2:8">
      <c r="C140" s="109">
        <f>C139+0.5</f>
        <v>13.6</v>
      </c>
      <c r="D140" s="99">
        <v>203.56805457365999</v>
      </c>
      <c r="E140" s="192">
        <v>190.65200034015328</v>
      </c>
      <c r="F140" s="197">
        <v>178.973704279115</v>
      </c>
      <c r="G140" s="192">
        <v>168.36482819953409</v>
      </c>
      <c r="H140" s="100">
        <v>158.68620346501362</v>
      </c>
    </row>
    <row r="141" spans="2:8">
      <c r="C141" s="109">
        <f>C140+0.5</f>
        <v>14.1</v>
      </c>
      <c r="D141" s="99">
        <v>203.56805457365999</v>
      </c>
      <c r="E141" s="100">
        <v>190.65200034015328</v>
      </c>
      <c r="F141" s="192">
        <v>178.973704279115</v>
      </c>
      <c r="G141" s="100">
        <v>168.36482819953409</v>
      </c>
      <c r="H141" s="100">
        <v>158.68620346501362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8D03-4E59-44D4-AC02-47226179B3D5}">
  <dimension ref="B2:T223"/>
  <sheetViews>
    <sheetView showGridLines="0" zoomScale="85" zoomScaleNormal="85" workbookViewId="0">
      <selection activeCell="E2" sqref="E2"/>
    </sheetView>
  </sheetViews>
  <sheetFormatPr defaultRowHeight="14.45" outlineLevelRow="1"/>
  <cols>
    <col min="3" max="3" width="42.28515625" bestFit="1" customWidth="1"/>
    <col min="4" max="6" width="8.85546875" customWidth="1"/>
    <col min="9" max="10" width="8.85546875" customWidth="1"/>
    <col min="12" max="12" width="8.85546875" customWidth="1"/>
  </cols>
  <sheetData>
    <row r="2" spans="2:19">
      <c r="C2" s="3" t="s">
        <v>238</v>
      </c>
      <c r="E2" s="3" t="s">
        <v>239</v>
      </c>
    </row>
    <row r="5" spans="2:19">
      <c r="B5" t="s">
        <v>0</v>
      </c>
      <c r="C5" s="203" t="s">
        <v>240</v>
      </c>
      <c r="D5" s="203"/>
      <c r="E5" s="204">
        <v>2020</v>
      </c>
      <c r="F5" s="204">
        <f>E5+1</f>
        <v>2021</v>
      </c>
      <c r="G5" s="204">
        <f t="shared" ref="G5:S5" si="0">F5+1</f>
        <v>2022</v>
      </c>
      <c r="H5" s="204">
        <f t="shared" si="0"/>
        <v>2023</v>
      </c>
      <c r="I5" s="204">
        <f t="shared" si="0"/>
        <v>2024</v>
      </c>
      <c r="J5" s="205">
        <f t="shared" si="0"/>
        <v>2025</v>
      </c>
      <c r="K5" s="205">
        <f t="shared" si="0"/>
        <v>2026</v>
      </c>
      <c r="L5" s="205">
        <f t="shared" si="0"/>
        <v>2027</v>
      </c>
      <c r="M5" s="205">
        <f t="shared" si="0"/>
        <v>2028</v>
      </c>
      <c r="N5" s="205">
        <f t="shared" si="0"/>
        <v>2029</v>
      </c>
      <c r="O5" s="205">
        <f t="shared" si="0"/>
        <v>2030</v>
      </c>
      <c r="P5" s="205">
        <f t="shared" si="0"/>
        <v>2031</v>
      </c>
      <c r="Q5" s="205">
        <f t="shared" si="0"/>
        <v>2032</v>
      </c>
      <c r="R5" s="205">
        <f t="shared" si="0"/>
        <v>2033</v>
      </c>
      <c r="S5" s="205">
        <f t="shared" si="0"/>
        <v>2034</v>
      </c>
    </row>
    <row r="7" spans="2:19" outlineLevel="1">
      <c r="B7" t="s">
        <v>0</v>
      </c>
      <c r="C7" s="200" t="s">
        <v>238</v>
      </c>
      <c r="D7" s="200"/>
      <c r="E7" s="201">
        <v>2020</v>
      </c>
      <c r="F7" s="201">
        <v>2021</v>
      </c>
      <c r="G7" s="201">
        <v>2022</v>
      </c>
      <c r="H7" s="201">
        <v>2023</v>
      </c>
      <c r="I7" s="201">
        <v>2024</v>
      </c>
      <c r="J7" s="202">
        <v>2025</v>
      </c>
      <c r="K7" s="202">
        <v>2026</v>
      </c>
      <c r="L7" s="202">
        <v>2027</v>
      </c>
      <c r="M7" s="202">
        <v>2028</v>
      </c>
      <c r="N7" s="202">
        <v>2029</v>
      </c>
      <c r="O7" s="202">
        <v>2029</v>
      </c>
      <c r="P7" s="202">
        <v>2029</v>
      </c>
      <c r="Q7" s="202">
        <v>2029</v>
      </c>
      <c r="R7" s="202">
        <v>2029</v>
      </c>
      <c r="S7" s="202">
        <v>2029</v>
      </c>
    </row>
    <row r="8" spans="2:19" outlineLevel="1">
      <c r="C8" s="36"/>
      <c r="D8" s="36"/>
      <c r="E8" s="37"/>
      <c r="F8" s="37"/>
      <c r="G8" s="37"/>
      <c r="H8" s="37"/>
      <c r="I8" s="37"/>
      <c r="J8" s="38"/>
      <c r="K8" s="38"/>
      <c r="L8" s="38"/>
      <c r="M8" s="38"/>
      <c r="N8" s="38"/>
      <c r="O8" s="38"/>
      <c r="P8" s="38"/>
      <c r="Q8" s="38"/>
      <c r="R8" s="38"/>
      <c r="S8" s="38"/>
    </row>
    <row r="9" spans="2:19" outlineLevel="1">
      <c r="B9" t="s">
        <v>0</v>
      </c>
      <c r="C9" s="39" t="s">
        <v>2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</row>
    <row r="10" spans="2:19" outlineLevel="1">
      <c r="C10" s="28" t="s">
        <v>241</v>
      </c>
      <c r="D10" s="28"/>
      <c r="E10" s="61" t="str">
        <f>CHOOSE(MATCH($E$2,{"Management";"Conservative"},0),E119,#REF!)</f>
        <v>--</v>
      </c>
      <c r="F10" s="20">
        <f>CHOOSE(MATCH($E$2,{"Management";"Conservative"},0),F119,#REF!)</f>
        <v>0.16478800709503919</v>
      </c>
      <c r="G10" s="20">
        <f>CHOOSE(MATCH($E$2,{"Management";"Conservative"},0),G119,#REF!)</f>
        <v>1.7708896202780346E-2</v>
      </c>
      <c r="H10" s="20">
        <f>CHOOSE(MATCH($E$2,{"Management";"Conservative"},0),H119,#REF!)</f>
        <v>0.17767587788101841</v>
      </c>
      <c r="I10" s="20">
        <f>CHOOSE(MATCH($E$2,{"Management";"Conservative"},0),I119,#REF!)</f>
        <v>4.4162550976494457E-2</v>
      </c>
      <c r="J10" s="20">
        <f>CHOOSE(MATCH($E$2,{"Management";"Conservative"},0),J119,#REF!)</f>
        <v>-1.204749034749035E-2</v>
      </c>
      <c r="K10" s="20">
        <f>CHOOSE(MATCH($E$2,{"Management";"Conservative"},0),K119,#REF!)</f>
        <v>5.2486486486486489E-2</v>
      </c>
      <c r="L10" s="20">
        <f>CHOOSE(MATCH($E$2,{"Management";"Conservative"},0),L119,#REF!)</f>
        <v>5.6324324324324326E-2</v>
      </c>
      <c r="M10" s="20">
        <f>CHOOSE(MATCH($E$2,{"Management";"Conservative"},0),M119,#REF!)</f>
        <v>5.4162162162162165E-2</v>
      </c>
      <c r="N10" s="20">
        <f>CHOOSE(MATCH($E$2,{"Management";"Conservative"},0),N119,#REF!)</f>
        <v>5.3498069498069505E-2</v>
      </c>
      <c r="O10" s="20">
        <f>CHOOSE(MATCH($E$2,{"Management";"Conservative"},0),O119,#REF!)</f>
        <v>4.8398455598455604E-2</v>
      </c>
      <c r="P10" s="20">
        <f>CHOOSE(MATCH($E$2,{"Management";"Conservative"},0),P119,#REF!)</f>
        <v>4.3298841698841704E-2</v>
      </c>
      <c r="Q10" s="20">
        <f>CHOOSE(MATCH($E$2,{"Management";"Conservative"},0),Q119,#REF!)</f>
        <v>3.8199227799227804E-2</v>
      </c>
      <c r="R10" s="20">
        <f>CHOOSE(MATCH($E$2,{"Management";"Conservative"},0),R119,#REF!)</f>
        <v>3.3099613899613904E-2</v>
      </c>
      <c r="S10" s="20">
        <f>CHOOSE(MATCH($E$2,{"Management";"Conservative"},0),S119,#REF!)</f>
        <v>2.8000000000000001E-2</v>
      </c>
    </row>
    <row r="11" spans="2:19" outlineLevel="1">
      <c r="C11" s="28" t="s">
        <v>242</v>
      </c>
      <c r="D11" s="28"/>
      <c r="E11" s="61" t="str">
        <f>CHOOSE(MATCH($E$2,{"Management";"Conservative"},0),E120,#REF!)</f>
        <v>--</v>
      </c>
      <c r="F11" s="20">
        <f>CHOOSE(MATCH($E$2,{"Management";"Conservative"},0),F120,#REF!)</f>
        <v>0.20634131796044133</v>
      </c>
      <c r="G11" s="20">
        <f>CHOOSE(MATCH($E$2,{"Management";"Conservative"},0),G120,#REF!)</f>
        <v>0.31560517426052559</v>
      </c>
      <c r="H11" s="20">
        <f>CHOOSE(MATCH($E$2,{"Management";"Conservative"},0),H120,#REF!)</f>
        <v>0.16984499765147959</v>
      </c>
      <c r="I11" s="20">
        <f>CHOOSE(MATCH($E$2,{"Management";"Conservative"},0),I120,#REF!)</f>
        <v>9.6629995449556874E-2</v>
      </c>
      <c r="J11" s="20">
        <f>CHOOSE(MATCH($E$2,{"Management";"Conservative"},0),J120,#REF!)</f>
        <v>-4.1000000000000009E-2</v>
      </c>
      <c r="K11" s="20">
        <f>CHOOSE(MATCH($E$2,{"Management";"Conservative"},0),K120,#REF!)</f>
        <v>4.4999999999999998E-2</v>
      </c>
      <c r="L11" s="20">
        <f>CHOOSE(MATCH($E$2,{"Management";"Conservative"},0),L120,#REF!)</f>
        <v>0.08</v>
      </c>
      <c r="M11" s="20">
        <f>CHOOSE(MATCH($E$2,{"Management";"Conservative"},0),M120,#REF!)</f>
        <v>7.1999999999999995E-2</v>
      </c>
      <c r="N11" s="20">
        <f>CHOOSE(MATCH($E$2,{"Management";"Conservative"},0),N120,#REF!)</f>
        <v>5.8999999999999997E-2</v>
      </c>
      <c r="O11" s="20">
        <f>CHOOSE(MATCH($E$2,{"Management";"Conservative"},0),O120,#REF!)</f>
        <v>5.2940000000000001E-2</v>
      </c>
      <c r="P11" s="20">
        <f>CHOOSE(MATCH($E$2,{"Management";"Conservative"},0),P120,#REF!)</f>
        <v>4.6880000000000005E-2</v>
      </c>
      <c r="Q11" s="20">
        <f>CHOOSE(MATCH($E$2,{"Management";"Conservative"},0),Q120,#REF!)</f>
        <v>4.0820000000000009E-2</v>
      </c>
      <c r="R11" s="20">
        <f>CHOOSE(MATCH($E$2,{"Management";"Conservative"},0),R120,#REF!)</f>
        <v>3.4760000000000013E-2</v>
      </c>
      <c r="S11" s="20">
        <f>CHOOSE(MATCH($E$2,{"Management";"Conservative"},0),S120,#REF!)</f>
        <v>2.87E-2</v>
      </c>
    </row>
    <row r="12" spans="2:19" outlineLevel="1">
      <c r="C12" s="28" t="s">
        <v>243</v>
      </c>
      <c r="D12" s="28"/>
      <c r="E12" s="61" t="str">
        <f>CHOOSE(MATCH($E$2,{"Management";"Conservative"},0),E121,#REF!)</f>
        <v>--</v>
      </c>
      <c r="F12" s="20">
        <f>CHOOSE(MATCH($E$2,{"Management";"Conservative"},0),F121,#REF!)</f>
        <v>0.20750884930076025</v>
      </c>
      <c r="G12" s="20">
        <f>CHOOSE(MATCH($E$2,{"Management";"Conservative"},0),G121,#REF!)</f>
        <v>0.12960738142150022</v>
      </c>
      <c r="H12" s="20">
        <f>CHOOSE(MATCH($E$2,{"Management";"Conservative"},0),H121,#REF!)</f>
        <v>0.11588530587934999</v>
      </c>
      <c r="I12" s="20">
        <f>CHOOSE(MATCH($E$2,{"Management";"Conservative"},0),I121,#REF!)</f>
        <v>-1.9824628288219594E-2</v>
      </c>
      <c r="J12" s="20">
        <f>CHOOSE(MATCH($E$2,{"Management";"Conservative"},0),J121,#REF!)</f>
        <v>-8.4999999999999992E-2</v>
      </c>
      <c r="K12" s="20">
        <f>CHOOSE(MATCH($E$2,{"Management";"Conservative"},0),K121,#REF!)</f>
        <v>6.6000000000000003E-2</v>
      </c>
      <c r="L12" s="20">
        <f>CHOOSE(MATCH($E$2,{"Management";"Conservative"},0),L121,#REF!)</f>
        <v>6.7000000000000004E-2</v>
      </c>
      <c r="M12" s="20">
        <f>CHOOSE(MATCH($E$2,{"Management";"Conservative"},0),M121,#REF!)</f>
        <v>5.7000000000000002E-2</v>
      </c>
      <c r="N12" s="20">
        <f>CHOOSE(MATCH($E$2,{"Management";"Conservative"},0),N121,#REF!)</f>
        <v>5.2000000000000005E-2</v>
      </c>
      <c r="O12" s="20">
        <f>CHOOSE(MATCH($E$2,{"Management";"Conservative"},0),O121,#REF!)</f>
        <v>4.7020000000000006E-2</v>
      </c>
      <c r="P12" s="20">
        <f>CHOOSE(MATCH($E$2,{"Management";"Conservative"},0),P121,#REF!)</f>
        <v>4.2040000000000008E-2</v>
      </c>
      <c r="Q12" s="20">
        <f>CHOOSE(MATCH($E$2,{"Management";"Conservative"},0),Q121,#REF!)</f>
        <v>3.706000000000001E-2</v>
      </c>
      <c r="R12" s="20">
        <f>CHOOSE(MATCH($E$2,{"Management";"Conservative"},0),R121,#REF!)</f>
        <v>3.2080000000000011E-2</v>
      </c>
      <c r="S12" s="20">
        <f>CHOOSE(MATCH($E$2,{"Management";"Conservative"},0),S121,#REF!)</f>
        <v>2.7099999999999999E-2</v>
      </c>
    </row>
    <row r="13" spans="2:19" outlineLevel="1">
      <c r="C13" s="28" t="s">
        <v>244</v>
      </c>
      <c r="D13" s="28"/>
      <c r="E13" s="61" t="str">
        <f>CHOOSE(MATCH($E$2,{"Management";"Conservative"},0),E122,#REF!)</f>
        <v>--</v>
      </c>
      <c r="F13" s="20">
        <f>CHOOSE(MATCH($E$2,{"Management";"Conservative"},0),F122,#REF!)</f>
        <v>4.0049481985464631E-2</v>
      </c>
      <c r="G13" s="20">
        <f>CHOOSE(MATCH($E$2,{"Management";"Conservative"},0),G122,#REF!)</f>
        <v>0.19565863812072556</v>
      </c>
      <c r="H13" s="20">
        <f>CHOOSE(MATCH($E$2,{"Management";"Conservative"},0),H122,#REF!)</f>
        <v>-1</v>
      </c>
      <c r="I13" s="20" t="e">
        <f>CHOOSE(MATCH($E$2,{"Management";"Conservative"},0),I122,#REF!)</f>
        <v>#DIV/0!</v>
      </c>
      <c r="J13" s="20">
        <f>CHOOSE(MATCH($E$2,{"Management";"Conservative"},0),J122,#REF!)</f>
        <v>0</v>
      </c>
      <c r="K13" s="20">
        <f>CHOOSE(MATCH($E$2,{"Management";"Conservative"},0),K122,#REF!)</f>
        <v>0</v>
      </c>
      <c r="L13" s="20">
        <f>CHOOSE(MATCH($E$2,{"Management";"Conservative"},0),L122,#REF!)</f>
        <v>0</v>
      </c>
      <c r="M13" s="20">
        <f>CHOOSE(MATCH($E$2,{"Management";"Conservative"},0),M122,#REF!)</f>
        <v>0</v>
      </c>
      <c r="N13" s="20">
        <f>CHOOSE(MATCH($E$2,{"Management";"Conservative"},0),N122,#REF!)</f>
        <v>0</v>
      </c>
      <c r="O13" s="20">
        <f>CHOOSE(MATCH($E$2,{"Management";"Conservative"},0),O122,#REF!)</f>
        <v>0</v>
      </c>
      <c r="P13" s="20">
        <f>CHOOSE(MATCH($E$2,{"Management";"Conservative"},0),P122,#REF!)</f>
        <v>0</v>
      </c>
      <c r="Q13" s="20">
        <f>CHOOSE(MATCH($E$2,{"Management";"Conservative"},0),Q122,#REF!)</f>
        <v>0</v>
      </c>
      <c r="R13" s="20">
        <f>CHOOSE(MATCH($E$2,{"Management";"Conservative"},0),R122,#REF!)</f>
        <v>0</v>
      </c>
      <c r="S13" s="20">
        <f>CHOOSE(MATCH($E$2,{"Management";"Conservative"},0),S122,#REF!)</f>
        <v>0</v>
      </c>
    </row>
    <row r="14" spans="2:19" outlineLevel="1">
      <c r="C14" s="29"/>
      <c r="D14" s="29"/>
      <c r="E14" s="20"/>
      <c r="F14" s="20"/>
      <c r="G14" s="20"/>
      <c r="H14" s="20"/>
      <c r="I14" s="20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2:19" outlineLevel="1">
      <c r="B15" t="s">
        <v>0</v>
      </c>
      <c r="C15" s="42" t="s">
        <v>10</v>
      </c>
      <c r="D15" s="42"/>
      <c r="E15" s="43"/>
      <c r="F15" s="43"/>
      <c r="G15" s="43"/>
      <c r="H15" s="43"/>
      <c r="I15" s="43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2:19" outlineLevel="1">
      <c r="C16" s="28" t="s">
        <v>245</v>
      </c>
      <c r="D16" s="28"/>
      <c r="E16" s="20">
        <f>CHOOSE(MATCH($E$2,{"Management";"Conservative"},0),E125,#REF!)</f>
        <v>0.45225703259876099</v>
      </c>
      <c r="F16" s="20">
        <f>CHOOSE(MATCH($E$2,{"Management";"Conservative"},0),F125,#REF!)</f>
        <v>0.48215038422878631</v>
      </c>
      <c r="G16" s="20">
        <f>CHOOSE(MATCH($E$2,{"Management";"Conservative"},0),G125,#REF!)</f>
        <v>0.50630015821879937</v>
      </c>
      <c r="H16" s="20">
        <f>CHOOSE(MATCH($E$2,{"Management";"Conservative"},0),H125,#REF!)</f>
        <v>0.46391899346893739</v>
      </c>
      <c r="I16" s="20">
        <f>CHOOSE(MATCH($E$2,{"Management";"Conservative"},0),I125,#REF!)</f>
        <v>0.45456554819732903</v>
      </c>
      <c r="J16" s="20">
        <f>CHOOSE(MATCH($E$2,{"Management";"Conservative"},0),J125,#REF!)</f>
        <v>0.45</v>
      </c>
      <c r="K16" s="20">
        <f>CHOOSE(MATCH($E$2,{"Management";"Conservative"},0),K125,#REF!)</f>
        <v>0.45</v>
      </c>
      <c r="L16" s="20">
        <f>CHOOSE(MATCH($E$2,{"Management";"Conservative"},0),L125,#REF!)</f>
        <v>0.45</v>
      </c>
      <c r="M16" s="20">
        <f>CHOOSE(MATCH($E$2,{"Management";"Conservative"},0),M125,#REF!)</f>
        <v>0.45</v>
      </c>
      <c r="N16" s="20">
        <f>CHOOSE(MATCH($E$2,{"Management";"Conservative"},0),N125,#REF!)</f>
        <v>0.45</v>
      </c>
      <c r="O16" s="20">
        <f>CHOOSE(MATCH($E$2,{"Management";"Conservative"},0),O125,#REF!)</f>
        <v>0.45</v>
      </c>
      <c r="P16" s="20">
        <f>CHOOSE(MATCH($E$2,{"Management";"Conservative"},0),P125,#REF!)</f>
        <v>0.45</v>
      </c>
      <c r="Q16" s="20">
        <f>CHOOSE(MATCH($E$2,{"Management";"Conservative"},0),Q125,#REF!)</f>
        <v>0.45</v>
      </c>
      <c r="R16" s="20">
        <f>CHOOSE(MATCH($E$2,{"Management";"Conservative"},0),R125,#REF!)</f>
        <v>0.45</v>
      </c>
      <c r="S16" s="20">
        <f>CHOOSE(MATCH($E$2,{"Management";"Conservative"},0),S125,#REF!)</f>
        <v>0.45</v>
      </c>
    </row>
    <row r="17" spans="2:19" outlineLevel="1">
      <c r="C17" s="28"/>
      <c r="D17" s="28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2:19" outlineLevel="1">
      <c r="B18" t="s">
        <v>0</v>
      </c>
      <c r="C18" s="42" t="s">
        <v>14</v>
      </c>
      <c r="D18" s="42"/>
      <c r="E18" s="43"/>
      <c r="F18" s="43"/>
      <c r="G18" s="43"/>
      <c r="H18" s="43"/>
      <c r="I18" s="43"/>
      <c r="J18" s="45"/>
      <c r="K18" s="45"/>
      <c r="L18" s="45"/>
      <c r="M18" s="45"/>
      <c r="N18" s="45"/>
      <c r="O18" s="45"/>
      <c r="P18" s="45"/>
      <c r="Q18" s="45"/>
      <c r="R18" s="45"/>
      <c r="S18" s="45"/>
    </row>
    <row r="19" spans="2:19" outlineLevel="1">
      <c r="C19" s="28" t="s">
        <v>246</v>
      </c>
      <c r="D19" s="28"/>
      <c r="E19" s="20">
        <f>CHOOSE(MATCH($E$2,{"Management";"Conservative"},0),E128,#REF!)</f>
        <v>0.19370112724687721</v>
      </c>
      <c r="F19" s="20">
        <f>CHOOSE(MATCH($E$2,{"Management";"Conservative"},0),F128,#REF!)</f>
        <v>0.1767452417236795</v>
      </c>
      <c r="G19" s="20">
        <f>CHOOSE(MATCH($E$2,{"Management";"Conservative"},0),G128,#REF!)</f>
        <v>0.16303208219752566</v>
      </c>
      <c r="H19" s="20">
        <f>CHOOSE(MATCH($E$2,{"Management";"Conservative"},0),H128,#REF!)</f>
        <v>0.17856316623066928</v>
      </c>
      <c r="I19" s="20">
        <f>CHOOSE(MATCH($E$2,{"Management";"Conservative"},0),I128,#REF!)</f>
        <v>0.18223087451437123</v>
      </c>
      <c r="J19" s="20">
        <f>CHOOSE(MATCH($E$2,{"Management";"Conservative"},0),J128,#REF!)</f>
        <v>0.189</v>
      </c>
      <c r="K19" s="20">
        <f>CHOOSE(MATCH($E$2,{"Management";"Conservative"},0),K128,#REF!)</f>
        <v>0.182</v>
      </c>
      <c r="L19" s="20">
        <f>CHOOSE(MATCH($E$2,{"Management";"Conservative"},0),L128,#REF!)</f>
        <v>0.17699999999999999</v>
      </c>
      <c r="M19" s="20">
        <f>CHOOSE(MATCH($E$2,{"Management";"Conservative"},0),M128,#REF!)</f>
        <v>0.17699999999999999</v>
      </c>
      <c r="N19" s="20">
        <f>CHOOSE(MATCH($E$2,{"Management";"Conservative"},0),N128,#REF!)</f>
        <v>0.17699999999999999</v>
      </c>
      <c r="O19" s="20">
        <f>CHOOSE(MATCH($E$2,{"Management";"Conservative"},0),O128,#REF!)</f>
        <v>0.17699999999999999</v>
      </c>
      <c r="P19" s="20">
        <f>CHOOSE(MATCH($E$2,{"Management";"Conservative"},0),P128,#REF!)</f>
        <v>0.17699999999999999</v>
      </c>
      <c r="Q19" s="20">
        <f>CHOOSE(MATCH($E$2,{"Management";"Conservative"},0),Q128,#REF!)</f>
        <v>0.17699999999999999</v>
      </c>
      <c r="R19" s="20">
        <f>CHOOSE(MATCH($E$2,{"Management";"Conservative"},0),R128,#REF!)</f>
        <v>0.17699999999999999</v>
      </c>
      <c r="S19" s="20">
        <f>CHOOSE(MATCH($E$2,{"Management";"Conservative"},0),S128,#REF!)</f>
        <v>0.17699999999999999</v>
      </c>
    </row>
    <row r="20" spans="2:19" outlineLevel="1">
      <c r="C20" s="28" t="s">
        <v>247</v>
      </c>
      <c r="D20" s="28"/>
      <c r="E20" s="20">
        <f>CHOOSE(MATCH($E$2,{"Management";"Conservative"},0),E129,#REF!)</f>
        <v>5.0713415253376658E-2</v>
      </c>
      <c r="F20" s="20">
        <f>CHOOSE(MATCH($E$2,{"Management";"Conservative"},0),F129,#REF!)</f>
        <v>5.0419895593528087E-2</v>
      </c>
      <c r="G20" s="20">
        <f>CHOOSE(MATCH($E$2,{"Management";"Conservative"},0),G129,#REF!)</f>
        <v>4.7513296097905028E-2</v>
      </c>
      <c r="H20" s="20">
        <f>CHOOSE(MATCH($E$2,{"Management";"Conservative"},0),H129,#REF!)</f>
        <v>5.1029487658605162E-2</v>
      </c>
      <c r="I20" s="20">
        <f>CHOOSE(MATCH($E$2,{"Management";"Conservative"},0),I129,#REF!)</f>
        <v>5.2843213098587964E-2</v>
      </c>
      <c r="J20" s="20">
        <f>CHOOSE(MATCH($E$2,{"Management";"Conservative"},0),J129,#REF!)</f>
        <v>5.1999999999999998E-2</v>
      </c>
      <c r="K20" s="20">
        <f>CHOOSE(MATCH($E$2,{"Management";"Conservative"},0),K129,#REF!)</f>
        <v>5.0999999999999997E-2</v>
      </c>
      <c r="L20" s="20">
        <f>CHOOSE(MATCH($E$2,{"Management";"Conservative"},0),L129,#REF!)</f>
        <v>0.05</v>
      </c>
      <c r="M20" s="20">
        <f>CHOOSE(MATCH($E$2,{"Management";"Conservative"},0),M129,#REF!)</f>
        <v>4.9000000000000002E-2</v>
      </c>
      <c r="N20" s="20">
        <f>CHOOSE(MATCH($E$2,{"Management";"Conservative"},0),N129,#REF!)</f>
        <v>4.9000000000000002E-2</v>
      </c>
      <c r="O20" s="20">
        <f>CHOOSE(MATCH($E$2,{"Management";"Conservative"},0),O129,#REF!)</f>
        <v>4.9000000000000002E-2</v>
      </c>
      <c r="P20" s="20">
        <f>CHOOSE(MATCH($E$2,{"Management";"Conservative"},0),P129,#REF!)</f>
        <v>4.9000000000000002E-2</v>
      </c>
      <c r="Q20" s="20">
        <f>CHOOSE(MATCH($E$2,{"Management";"Conservative"},0),Q129,#REF!)</f>
        <v>4.9000000000000002E-2</v>
      </c>
      <c r="R20" s="20">
        <f>CHOOSE(MATCH($E$2,{"Management";"Conservative"},0),R129,#REF!)</f>
        <v>4.9000000000000002E-2</v>
      </c>
      <c r="S20" s="20">
        <f>CHOOSE(MATCH($E$2,{"Management";"Conservative"},0),S129,#REF!)</f>
        <v>4.9000000000000002E-2</v>
      </c>
    </row>
    <row r="21" spans="2:19" outlineLevel="1">
      <c r="C21" s="28" t="s">
        <v>248</v>
      </c>
      <c r="D21" s="28"/>
      <c r="E21" s="20">
        <f>CHOOSE(MATCH($E$2,{"Management";"Conservative"},0),E130,#REF!)</f>
        <v>5.0979993906773637E-2</v>
      </c>
      <c r="F21" s="20">
        <f>CHOOSE(MATCH($E$2,{"Management";"Conservative"},0),F130,#REF!)</f>
        <v>5.1554748549009433E-2</v>
      </c>
      <c r="G21" s="20">
        <f>CHOOSE(MATCH($E$2,{"Management";"Conservative"},0),G130,#REF!)</f>
        <v>4.9505327970414986E-2</v>
      </c>
      <c r="H21" s="20">
        <f>CHOOSE(MATCH($E$2,{"Management";"Conservative"},0),H130,#REF!)</f>
        <v>5.0371042656558646E-2</v>
      </c>
      <c r="I21" s="20">
        <f>CHOOSE(MATCH($E$2,{"Management";"Conservative"},0),I130,#REF!)</f>
        <v>5.1457523952019454E-2</v>
      </c>
      <c r="J21" s="20">
        <f>CHOOSE(MATCH($E$2,{"Management";"Conservative"},0),J130,#REF!)</f>
        <v>0.05</v>
      </c>
      <c r="K21" s="20">
        <f>CHOOSE(MATCH($E$2,{"Management";"Conservative"},0),K130,#REF!)</f>
        <v>4.9000000000000002E-2</v>
      </c>
      <c r="L21" s="20">
        <f>CHOOSE(MATCH($E$2,{"Management";"Conservative"},0),L130,#REF!)</f>
        <v>4.9000000000000002E-2</v>
      </c>
      <c r="M21" s="20">
        <f>CHOOSE(MATCH($E$2,{"Management";"Conservative"},0),M130,#REF!)</f>
        <v>4.8000000000000001E-2</v>
      </c>
      <c r="N21" s="20">
        <f>CHOOSE(MATCH($E$2,{"Management";"Conservative"},0),N130,#REF!)</f>
        <v>4.8000000000000001E-2</v>
      </c>
      <c r="O21" s="20">
        <f>CHOOSE(MATCH($E$2,{"Management";"Conservative"},0),O130,#REF!)</f>
        <v>4.8000000000000001E-2</v>
      </c>
      <c r="P21" s="20">
        <f>CHOOSE(MATCH($E$2,{"Management";"Conservative"},0),P130,#REF!)</f>
        <v>4.8000000000000001E-2</v>
      </c>
      <c r="Q21" s="20">
        <f>CHOOSE(MATCH($E$2,{"Management";"Conservative"},0),Q130,#REF!)</f>
        <v>4.8000000000000001E-2</v>
      </c>
      <c r="R21" s="20">
        <f>CHOOSE(MATCH($E$2,{"Management";"Conservative"},0),R130,#REF!)</f>
        <v>4.8000000000000001E-2</v>
      </c>
      <c r="S21" s="20">
        <f>CHOOSE(MATCH($E$2,{"Management";"Conservative"},0),S130,#REF!)</f>
        <v>4.8000000000000001E-2</v>
      </c>
    </row>
    <row r="22" spans="2:19" outlineLevel="1">
      <c r="C22" s="28" t="s">
        <v>249</v>
      </c>
      <c r="D22" s="28"/>
      <c r="E22" s="20">
        <f>CHOOSE(MATCH($E$2,{"Management";"Conservative"},0),E131,#REF!)</f>
        <v>2.6911749771504009E-2</v>
      </c>
      <c r="F22" s="20">
        <f>CHOOSE(MATCH($E$2,{"Management";"Conservative"},0),F131,#REF!)</f>
        <v>2.5409898079396472E-2</v>
      </c>
      <c r="G22" s="20">
        <f>CHOOSE(MATCH($E$2,{"Management";"Conservative"},0),G131,#REF!)</f>
        <v>2.8927352789797744E-2</v>
      </c>
      <c r="H22" s="20">
        <f>CHOOSE(MATCH($E$2,{"Management";"Conservative"},0),H131,#REF!)</f>
        <v>3.2966739629491218E-2</v>
      </c>
      <c r="I22" s="20">
        <f>CHOOSE(MATCH($E$2,{"Management";"Conservative"},0),I131,#REF!)</f>
        <v>3.1530803954739825E-2</v>
      </c>
      <c r="J22" s="20">
        <f>CHOOSE(MATCH($E$2,{"Management";"Conservative"},0),J131,#REF!)</f>
        <v>3.1E-2</v>
      </c>
      <c r="K22" s="20">
        <f>CHOOSE(MATCH($E$2,{"Management";"Conservative"},0),K131,#REF!)</f>
        <v>0.03</v>
      </c>
      <c r="L22" s="20">
        <f>CHOOSE(MATCH($E$2,{"Management";"Conservative"},0),L131,#REF!)</f>
        <v>2.9000000000000001E-2</v>
      </c>
      <c r="M22" s="20">
        <f>CHOOSE(MATCH($E$2,{"Management";"Conservative"},0),M131,#REF!)</f>
        <v>2.9000000000000001E-2</v>
      </c>
      <c r="N22" s="20">
        <f>CHOOSE(MATCH($E$2,{"Management";"Conservative"},0),N131,#REF!)</f>
        <v>2.9000000000000001E-2</v>
      </c>
      <c r="O22" s="20">
        <f>CHOOSE(MATCH($E$2,{"Management";"Conservative"},0),O131,#REF!)</f>
        <v>2.9000000000000001E-2</v>
      </c>
      <c r="P22" s="20">
        <f>CHOOSE(MATCH($E$2,{"Management";"Conservative"},0),P131,#REF!)</f>
        <v>2.9000000000000001E-2</v>
      </c>
      <c r="Q22" s="20">
        <f>CHOOSE(MATCH($E$2,{"Management";"Conservative"},0),Q131,#REF!)</f>
        <v>2.9000000000000001E-2</v>
      </c>
      <c r="R22" s="20">
        <f>CHOOSE(MATCH($E$2,{"Management";"Conservative"},0),R131,#REF!)</f>
        <v>2.9000000000000001E-2</v>
      </c>
      <c r="S22" s="20">
        <f>CHOOSE(MATCH($E$2,{"Management";"Conservative"},0),S131,#REF!)</f>
        <v>2.9000000000000001E-2</v>
      </c>
    </row>
    <row r="23" spans="2:19" outlineLevel="1">
      <c r="C23" s="28" t="s">
        <v>250</v>
      </c>
      <c r="D23" s="28"/>
      <c r="E23" s="20">
        <f>CHOOSE(MATCH($E$2,{"Management";"Conservative"},0),E132,#REF!)</f>
        <v>3.5315324464303847E-2</v>
      </c>
      <c r="F23" s="20">
        <f>CHOOSE(MATCH($E$2,{"Management";"Conservative"},0),F132,#REF!)</f>
        <v>2.5874647384974546E-2</v>
      </c>
      <c r="G23" s="20">
        <f>CHOOSE(MATCH($E$2,{"Management";"Conservative"},0),G132,#REF!)</f>
        <v>1.750891172153491E-2</v>
      </c>
      <c r="H23" s="20">
        <f>CHOOSE(MATCH($E$2,{"Management";"Conservative"},0),H132,#REF!)</f>
        <v>4.1215097965938814E-2</v>
      </c>
      <c r="I23" s="20">
        <f>CHOOSE(MATCH($E$2,{"Management";"Conservative"},0),I132,#REF!)</f>
        <v>3.4438200814411173E-2</v>
      </c>
      <c r="J23" s="20">
        <f>CHOOSE(MATCH($E$2,{"Management";"Conservative"},0),J132,#REF!)</f>
        <v>3.5999999999999997E-2</v>
      </c>
      <c r="K23" s="20">
        <f>CHOOSE(MATCH($E$2,{"Management";"Conservative"},0),K132,#REF!)</f>
        <v>3.5000000000000003E-2</v>
      </c>
      <c r="L23" s="20">
        <f>CHOOSE(MATCH($E$2,{"Management";"Conservative"},0),L132,#REF!)</f>
        <v>3.5000000000000003E-2</v>
      </c>
      <c r="M23" s="20">
        <f>CHOOSE(MATCH($E$2,{"Management";"Conservative"},0),M132,#REF!)</f>
        <v>3.4000000000000002E-2</v>
      </c>
      <c r="N23" s="20">
        <f>CHOOSE(MATCH($E$2,{"Management";"Conservative"},0),N132,#REF!)</f>
        <v>3.4000000000000002E-2</v>
      </c>
      <c r="O23" s="20">
        <f>CHOOSE(MATCH($E$2,{"Management";"Conservative"},0),O132,#REF!)</f>
        <v>3.4000000000000002E-2</v>
      </c>
      <c r="P23" s="20">
        <f>CHOOSE(MATCH($E$2,{"Management";"Conservative"},0),P132,#REF!)</f>
        <v>3.4000000000000002E-2</v>
      </c>
      <c r="Q23" s="20">
        <f>CHOOSE(MATCH($E$2,{"Management";"Conservative"},0),Q132,#REF!)</f>
        <v>3.4000000000000002E-2</v>
      </c>
      <c r="R23" s="20">
        <f>CHOOSE(MATCH($E$2,{"Management";"Conservative"},0),R132,#REF!)</f>
        <v>3.4000000000000002E-2</v>
      </c>
      <c r="S23" s="20">
        <f>CHOOSE(MATCH($E$2,{"Management";"Conservative"},0),S132,#REF!)</f>
        <v>3.4000000000000002E-2</v>
      </c>
    </row>
    <row r="24" spans="2:19" outlineLevel="1">
      <c r="C24" s="28"/>
      <c r="D24" s="2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2:19" outlineLevel="1">
      <c r="C25" s="42" t="s">
        <v>91</v>
      </c>
      <c r="D25" s="4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spans="2:19" outlineLevel="1">
      <c r="C26" t="s">
        <v>251</v>
      </c>
      <c r="D26" s="28"/>
      <c r="E26" s="76">
        <f>CHOOSE(MATCH($E$2,{"Management";"Conservative"},0),E135,#REF!)</f>
        <v>120.1</v>
      </c>
      <c r="F26" s="76">
        <f>CHOOSE(MATCH($E$2,{"Management";"Conservative"},0),F135,#REF!)</f>
        <v>157.30000000000001</v>
      </c>
      <c r="G26" s="76">
        <f>CHOOSE(MATCH($E$2,{"Management";"Conservative"},0),G135,#REF!)</f>
        <v>238</v>
      </c>
      <c r="H26" s="76">
        <f>CHOOSE(MATCH($E$2,{"Management";"Conservative"},0),H135,#REF!)</f>
        <v>256.8</v>
      </c>
      <c r="I26" s="76">
        <f>CHOOSE(MATCH($E$2,{"Management";"Conservative"},0),I135,#REF!)</f>
        <v>331.1</v>
      </c>
      <c r="J26" s="76">
        <f>CHOOSE(MATCH($E$2,{"Management";"Conservative"},0),J135,#REF!)</f>
        <v>373.20623181544397</v>
      </c>
      <c r="K26" s="76">
        <f>CHOOSE(MATCH($E$2,{"Management";"Conservative"},0),K135,#REF!)</f>
        <v>391.09438297718964</v>
      </c>
      <c r="L26" s="76">
        <f>CHOOSE(MATCH($E$2,{"Management";"Conservative"},0),L135,#REF!)</f>
        <v>414.94089164279575</v>
      </c>
      <c r="M26" s="76">
        <f>CHOOSE(MATCH($E$2,{"Management";"Conservative"},0),M135,#REF!)</f>
        <v>438.18770380714238</v>
      </c>
      <c r="N26" s="76">
        <f>CHOOSE(MATCH($E$2,{"Management";"Conservative"},0),N135,#REF!)</f>
        <v>426.73182647489728</v>
      </c>
      <c r="O26" s="76">
        <f>CHOOSE(MATCH($E$2,{"Management";"Conservative"},0),O135,#REF!)</f>
        <v>447.9477976065412</v>
      </c>
      <c r="P26" s="76">
        <f>CHOOSE(MATCH($E$2,{"Management";"Conservative"},0),P135,#REF!)</f>
        <v>417.11740239770972</v>
      </c>
      <c r="Q26" s="76">
        <f>CHOOSE(MATCH($E$2,{"Management";"Conservative"},0),Q135,#REF!)</f>
        <v>380.69213490545229</v>
      </c>
      <c r="R26" s="76">
        <f>CHOOSE(MATCH($E$2,{"Management";"Conservative"},0),R135,#REF!)</f>
        <v>339.0260025934752</v>
      </c>
      <c r="S26" s="76">
        <f>CHOOSE(MATCH($E$2,{"Management";"Conservative"},0),S135,#REF!)</f>
        <v>292.60158194766382</v>
      </c>
    </row>
    <row r="27" spans="2:19" outlineLevel="1">
      <c r="C27" s="74" t="s">
        <v>5</v>
      </c>
      <c r="D27" s="28"/>
      <c r="E27" s="20">
        <f>CHOOSE(MATCH($E$2,{"Management";"Conservative"},0),E136,#REF!)</f>
        <v>1.5245760129988828E-2</v>
      </c>
      <c r="F27" s="20">
        <f>CHOOSE(MATCH($E$2,{"Management";"Conservative"},0),F136,#REF!)</f>
        <v>1.7001178085449022E-2</v>
      </c>
      <c r="G27" s="20">
        <f>CHOOSE(MATCH($E$2,{"Management";"Conservative"},0),G136,#REF!)</f>
        <v>2.2684382088869401E-2</v>
      </c>
      <c r="H27" s="20">
        <f>CHOOSE(MATCH($E$2,{"Management";"Conservative"},0),H136,#REF!)</f>
        <v>2.2849821152100797E-2</v>
      </c>
      <c r="I27" s="20">
        <f>CHOOSE(MATCH($E$2,{"Management";"Conservative"},0),I136,#REF!)</f>
        <v>2.8147342112198319E-2</v>
      </c>
      <c r="J27" s="20">
        <f>CHOOSE(MATCH($E$2,{"Management";"Conservative"},0),J136,#REF!)</f>
        <v>0.03</v>
      </c>
      <c r="K27" s="20">
        <f>CHOOSE(MATCH($E$2,{"Management";"Conservative"},0),K136,#REF!)</f>
        <v>0.03</v>
      </c>
      <c r="L27" s="20">
        <f>CHOOSE(MATCH($E$2,{"Management";"Conservative"},0),L136,#REF!)</f>
        <v>0.03</v>
      </c>
      <c r="M27" s="20">
        <f>CHOOSE(MATCH($E$2,{"Management";"Conservative"},0),M136,#REF!)</f>
        <v>0.03</v>
      </c>
      <c r="N27" s="20">
        <f>CHOOSE(MATCH($E$2,{"Management";"Conservative"},0),N136,#REF!)</f>
        <v>0.03</v>
      </c>
      <c r="O27" s="20">
        <f>CHOOSE(MATCH($E$2,{"Management";"Conservative"},0),O136,#REF!)</f>
        <v>0.03</v>
      </c>
      <c r="P27" s="20">
        <f>CHOOSE(MATCH($E$2,{"Management";"Conservative"},0),P136,#REF!)</f>
        <v>2.6749999999999999E-2</v>
      </c>
      <c r="Q27" s="20">
        <f>CHOOSE(MATCH($E$2,{"Management";"Conservative"},0),Q136,#REF!)</f>
        <v>2.35E-2</v>
      </c>
      <c r="R27" s="20">
        <f>CHOOSE(MATCH($E$2,{"Management";"Conservative"},0),R136,#REF!)</f>
        <v>2.0250000000000001E-2</v>
      </c>
      <c r="S27" s="20">
        <f>CHOOSE(MATCH($E$2,{"Management";"Conservative"},0),S136,#REF!)</f>
        <v>1.7000000000000001E-2</v>
      </c>
    </row>
    <row r="28" spans="2:19" outlineLevel="1">
      <c r="C28" t="s">
        <v>252</v>
      </c>
      <c r="D28" s="28"/>
      <c r="E28" s="76">
        <f>CHOOSE(MATCH($E$2,{"Management";"Conservative"},0),E137,#REF!)</f>
        <v>72.400000000000006</v>
      </c>
      <c r="F28" s="76">
        <f>CHOOSE(MATCH($E$2,{"Management";"Conservative"},0),F137,#REF!)</f>
        <v>75.7</v>
      </c>
      <c r="G28" s="76">
        <f>CHOOSE(MATCH($E$2,{"Management";"Conservative"},0),G137,#REF!)</f>
        <v>104.5</v>
      </c>
      <c r="H28" s="76">
        <f>CHOOSE(MATCH($E$2,{"Management";"Conservative"},0),H137,#REF!)</f>
        <v>120</v>
      </c>
      <c r="I28" s="76">
        <f>CHOOSE(MATCH($E$2,{"Management";"Conservative"},0),I137,#REF!)</f>
        <v>134.30000000000001</v>
      </c>
      <c r="J28" s="76">
        <f>CHOOSE(MATCH($E$2,{"Management";"Conservative"},0),J137,#REF!)</f>
        <v>125.00218286292552</v>
      </c>
      <c r="K28" s="76">
        <f>CHOOSE(MATCH($E$2,{"Management";"Conservative"},0),K137,#REF!)</f>
        <v>131.58935886096666</v>
      </c>
      <c r="L28" s="76">
        <f>CHOOSE(MATCH($E$2,{"Management";"Conservative"},0),L137,#REF!)</f>
        <v>140.3706548204442</v>
      </c>
      <c r="M28" s="76">
        <f>CHOOSE(MATCH($E$2,{"Management";"Conservative"},0),M137,#REF!)</f>
        <v>148.93111709154968</v>
      </c>
      <c r="N28" s="76">
        <f>CHOOSE(MATCH($E$2,{"Management";"Conservative"},0),N137,#REF!)</f>
        <v>149.91649118854033</v>
      </c>
      <c r="O28" s="76">
        <f>CHOOSE(MATCH($E$2,{"Management";"Conservative"},0),O137,#REF!)</f>
        <v>149.7865014388255</v>
      </c>
      <c r="P28" s="76">
        <f>CHOOSE(MATCH($E$2,{"Management";"Conservative"},0),P137,#REF!)</f>
        <v>148.50371620836074</v>
      </c>
      <c r="Q28" s="76">
        <f>CHOOSE(MATCH($E$2,{"Management";"Conservative"},0),Q137,#REF!)</f>
        <v>146.05225392233825</v>
      </c>
      <c r="R28" s="76">
        <f>CHOOSE(MATCH($E$2,{"Management";"Conservative"},0),R137,#REF!)</f>
        <v>142.43911712086722</v>
      </c>
      <c r="S28" s="76">
        <f>CHOOSE(MATCH($E$2,{"Management";"Conservative"},0),S137,#REF!)</f>
        <v>137.69486209301826</v>
      </c>
    </row>
    <row r="29" spans="2:19" outlineLevel="1">
      <c r="C29" s="74" t="s">
        <v>253</v>
      </c>
      <c r="D29" s="28"/>
      <c r="E29" s="20">
        <f>CHOOSE(MATCH($E$2,{"Management";"Conservative"},0),E138,#REF!)</f>
        <v>9.1906164314004262E-3</v>
      </c>
      <c r="F29" s="20">
        <f>CHOOSE(MATCH($E$2,{"Management";"Conservative"},0),F138,#REF!)</f>
        <v>8.1817494028511815E-3</v>
      </c>
      <c r="G29" s="20">
        <f>CHOOSE(MATCH($E$2,{"Management";"Conservative"},0),G138,#REF!)</f>
        <v>9.9601593625498006E-3</v>
      </c>
      <c r="H29" s="20">
        <f>CHOOSE(MATCH($E$2,{"Management";"Conservative"},0),H138,#REF!)</f>
        <v>1.0677486519673268E-2</v>
      </c>
      <c r="I29" s="20">
        <f>CHOOSE(MATCH($E$2,{"Management";"Conservative"},0),I138,#REF!)</f>
        <v>1.1417058428475488E-2</v>
      </c>
      <c r="J29" s="20">
        <f>CHOOSE(MATCH($E$2,{"Management";"Conservative"},0),J138,#REF!)</f>
        <v>1.1047272474074377E-2</v>
      </c>
      <c r="K29" s="20">
        <f>CHOOSE(MATCH($E$2,{"Management";"Conservative"},0),K138,#REF!)</f>
        <v>1.1047272474074377E-2</v>
      </c>
      <c r="L29" s="20">
        <f>CHOOSE(MATCH($E$2,{"Management";"Conservative"},0),L138,#REF!)</f>
        <v>1.1047272474074377E-2</v>
      </c>
      <c r="M29" s="20">
        <f>CHOOSE(MATCH($E$2,{"Management";"Conservative"},0),M138,#REF!)</f>
        <v>1.1047272474074377E-2</v>
      </c>
      <c r="N29" s="20">
        <f>CHOOSE(MATCH($E$2,{"Management";"Conservative"},0),N138,#REF!)</f>
        <v>1.0539393728395314E-2</v>
      </c>
      <c r="O29" s="20">
        <f>CHOOSE(MATCH($E$2,{"Management";"Conservative"},0),O138,#REF!)</f>
        <v>1.003151498271625E-2</v>
      </c>
      <c r="P29" s="20">
        <f>CHOOSE(MATCH($E$2,{"Management";"Conservative"},0),P138,#REF!)</f>
        <v>9.523636237037187E-3</v>
      </c>
      <c r="Q29" s="20">
        <f>CHOOSE(MATCH($E$2,{"Management";"Conservative"},0),Q138,#REF!)</f>
        <v>9.0157574913581236E-3</v>
      </c>
      <c r="R29" s="20">
        <f>CHOOSE(MATCH($E$2,{"Management";"Conservative"},0),R138,#REF!)</f>
        <v>8.5078787456790601E-3</v>
      </c>
      <c r="S29" s="20">
        <f>CHOOSE(MATCH($E$2,{"Management";"Conservative"},0),S138,#REF!)</f>
        <v>8.0000000000000002E-3</v>
      </c>
    </row>
    <row r="30" spans="2:19" outlineLevel="1">
      <c r="C30" t="s">
        <v>50</v>
      </c>
      <c r="D30" s="28"/>
      <c r="E30" s="76">
        <f>CHOOSE(MATCH($E$2,{"Management";"Conservative"},0),E139,#REF!)</f>
        <v>11.6</v>
      </c>
      <c r="F30" s="76">
        <f>CHOOSE(MATCH($E$2,{"Management";"Conservative"},0),F139,#REF!)</f>
        <v>13.5</v>
      </c>
      <c r="G30" s="76">
        <f>CHOOSE(MATCH($E$2,{"Management";"Conservative"},0),G139,#REF!)</f>
        <v>28</v>
      </c>
      <c r="H30" s="76">
        <f>CHOOSE(MATCH($E$2,{"Management";"Conservative"},0),H139,#REF!)</f>
        <v>23.1</v>
      </c>
      <c r="I30" s="76">
        <f>CHOOSE(MATCH($E$2,{"Management";"Conservative"},0),I139,#REF!)</f>
        <v>27.9</v>
      </c>
      <c r="J30" s="76">
        <f>CHOOSE(MATCH($E$2,{"Management";"Conservative"},0),J139,#REF!)</f>
        <v>25.047569614085607</v>
      </c>
      <c r="K30" s="76">
        <f>CHOOSE(MATCH($E$2,{"Management";"Conservative"},0),K139,#REF!)</f>
        <v>26.36748855943792</v>
      </c>
      <c r="L30" s="76">
        <f>CHOOSE(MATCH($E$2,{"Management";"Conservative"},0),L139,#REF!)</f>
        <v>28.127058807007874</v>
      </c>
      <c r="M30" s="76">
        <f>CHOOSE(MATCH($E$2,{"Management";"Conservative"},0),M139,#REF!)</f>
        <v>29.842379049850308</v>
      </c>
      <c r="N30" s="76">
        <f>CHOOSE(MATCH($E$2,{"Management";"Conservative"},0),N139,#REF!)</f>
        <v>31.487402876689796</v>
      </c>
      <c r="O30" s="76">
        <f>CHOOSE(MATCH($E$2,{"Management";"Conservative"},0),O139,#REF!)</f>
        <v>33.052872778385989</v>
      </c>
      <c r="P30" s="76">
        <f>CHOOSE(MATCH($E$2,{"Management";"Conservative"},0),P139,#REF!)</f>
        <v>34.517360946261853</v>
      </c>
      <c r="Q30" s="76">
        <f>CHOOSE(MATCH($E$2,{"Management";"Conservative"},0),Q139,#REF!)</f>
        <v>35.859902397617724</v>
      </c>
      <c r="R30" s="76">
        <f>CHOOSE(MATCH($E$2,{"Management";"Conservative"},0),R139,#REF!)</f>
        <v>37.060480218854984</v>
      </c>
      <c r="S30" s="76">
        <f>CHOOSE(MATCH($E$2,{"Management";"Conservative"},0),S139,#REF!)</f>
        <v>38.100511794977585</v>
      </c>
    </row>
    <row r="31" spans="2:19" outlineLevel="1">
      <c r="C31" s="7" t="s">
        <v>5</v>
      </c>
      <c r="D31" s="28"/>
      <c r="E31" s="21">
        <f>CHOOSE(MATCH($E$2,{"Management";"Conservative"},0),E140,#REF!)</f>
        <v>1.4725297044785213E-3</v>
      </c>
      <c r="F31" s="21">
        <f>CHOOSE(MATCH($E$2,{"Management";"Conservative"},0),F140,#REF!)</f>
        <v>1.4590966570474366E-3</v>
      </c>
      <c r="G31" s="21">
        <f>CHOOSE(MATCH($E$2,{"Management";"Conservative"},0),G140,#REF!)</f>
        <v>2.6687508339846354E-3</v>
      </c>
      <c r="H31" s="21">
        <f>CHOOSE(MATCH($E$2,{"Management";"Conservative"},0),H140,#REF!)</f>
        <v>2.0554161550371043E-3</v>
      </c>
      <c r="I31" s="21">
        <f>CHOOSE(MATCH($E$2,{"Management";"Conservative"},0),I140,#REF!)</f>
        <v>2.3718237539424132E-3</v>
      </c>
      <c r="J31" s="21">
        <f>CHOOSE(MATCH($E$2,{"Management";"Conservative"},0),J140,#REF!)</f>
        <v>2.2136199544897589E-3</v>
      </c>
      <c r="K31" s="21">
        <f>CHOOSE(MATCH($E$2,{"Management";"Conservative"},0),K140,#REF!)</f>
        <v>2.2136199544897589E-3</v>
      </c>
      <c r="L31" s="21">
        <f>CHOOSE(MATCH($E$2,{"Management";"Conservative"},0),L140,#REF!)</f>
        <v>2.2136199544897589E-3</v>
      </c>
      <c r="M31" s="21">
        <f>CHOOSE(MATCH($E$2,{"Management";"Conservative"},0),M140,#REF!)</f>
        <v>2.2136199544897589E-3</v>
      </c>
      <c r="N31" s="21">
        <f>CHOOSE(MATCH($E$2,{"Management";"Conservative"},0),N140,#REF!)</f>
        <v>2.2136199544897589E-3</v>
      </c>
      <c r="O31" s="21">
        <f>CHOOSE(MATCH($E$2,{"Management";"Conservative"},0),O140,#REF!)</f>
        <v>2.2136199544897589E-3</v>
      </c>
      <c r="P31" s="21">
        <f>CHOOSE(MATCH($E$2,{"Management";"Conservative"},0),P140,#REF!)</f>
        <v>2.2136199544897589E-3</v>
      </c>
      <c r="Q31" s="21">
        <f>CHOOSE(MATCH($E$2,{"Management";"Conservative"},0),Q140,#REF!)</f>
        <v>2.2136199544897589E-3</v>
      </c>
      <c r="R31" s="21">
        <f>CHOOSE(MATCH($E$2,{"Management";"Conservative"},0),R140,#REF!)</f>
        <v>2.2136199544897589E-3</v>
      </c>
      <c r="S31" s="21">
        <f>CHOOSE(MATCH($E$2,{"Management";"Conservative"},0),S140,#REF!)</f>
        <v>2.2136199544897589E-3</v>
      </c>
    </row>
    <row r="32" spans="2:19" outlineLevel="1">
      <c r="C32" s="28"/>
      <c r="D32" s="28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2:19" outlineLevel="1">
      <c r="C33" s="42" t="s">
        <v>98</v>
      </c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</row>
    <row r="34" spans="2:19" outlineLevel="1">
      <c r="C34" s="28" t="s">
        <v>254</v>
      </c>
      <c r="D34" s="28"/>
      <c r="E34" s="20"/>
      <c r="F34" s="20"/>
      <c r="G34" s="20"/>
      <c r="H34" s="20"/>
      <c r="I34" s="20"/>
      <c r="J34" s="20">
        <f>CHOOSE(MATCH($E$2,{"Management";"Conservative"},0),J143,#REF!)</f>
        <v>1.078713094337377E-2</v>
      </c>
      <c r="K34" s="20">
        <f>CHOOSE(MATCH($E$2,{"Management";"Conservative"},0),K143,#REF!)</f>
        <v>1.4009359777609642E-2</v>
      </c>
      <c r="L34" s="20">
        <f>CHOOSE(MATCH($E$2,{"Management";"Conservative"},0),L143,#REF!)</f>
        <v>1.4009359777609642E-2</v>
      </c>
      <c r="M34" s="20">
        <f>CHOOSE(MATCH($E$2,{"Management";"Conservative"},0),M143,#REF!)</f>
        <v>1.4009359777609642E-2</v>
      </c>
      <c r="N34" s="20">
        <f>CHOOSE(MATCH($E$2,{"Management";"Conservative"},0),N143,#REF!)</f>
        <v>1.4009359777609642E-2</v>
      </c>
      <c r="O34" s="20">
        <f>CHOOSE(MATCH($E$2,{"Management";"Conservative"},0),O143,#REF!)</f>
        <v>1.2E-2</v>
      </c>
      <c r="P34" s="20">
        <f>CHOOSE(MATCH($E$2,{"Management";"Conservative"},0),P143,#REF!)</f>
        <v>0.01</v>
      </c>
      <c r="Q34" s="20">
        <f>CHOOSE(MATCH($E$2,{"Management";"Conservative"},0),Q143,#REF!)</f>
        <v>7.0000000000000001E-3</v>
      </c>
      <c r="R34" s="20">
        <f>CHOOSE(MATCH($E$2,{"Management";"Conservative"},0),R143,#REF!)</f>
        <v>3.0000000000000001E-3</v>
      </c>
      <c r="S34" s="20">
        <f>CHOOSE(MATCH($E$2,{"Management";"Conservative"},0),S143,#REF!)</f>
        <v>0</v>
      </c>
    </row>
    <row r="35" spans="2:19" outlineLevel="1">
      <c r="C35" s="28" t="s">
        <v>255</v>
      </c>
      <c r="D35" s="28"/>
      <c r="E35" s="20"/>
      <c r="F35" s="20"/>
      <c r="G35" s="20"/>
      <c r="H35" s="20"/>
      <c r="I35" s="20"/>
      <c r="J35" s="70">
        <f>CHOOSE(MATCH($E$2,{"Management";"Conservative"},0),J144,#REF!)</f>
        <v>126.89009999999999</v>
      </c>
      <c r="K35" s="70">
        <f>CHOOSE(MATCH($E$2,{"Management";"Conservative"},0),K144,#REF!)</f>
        <v>158.51881600847386</v>
      </c>
      <c r="L35" s="70">
        <f>CHOOSE(MATCH($E$2,{"Management";"Conservative"},0),L144,#REF!)</f>
        <v>166.87220085451256</v>
      </c>
      <c r="M35" s="70">
        <f>CHOOSE(MATCH($E$2,{"Management";"Conservative"},0),M144,#REF!)</f>
        <v>178.00801149905794</v>
      </c>
      <c r="N35" s="70">
        <f>CHOOSE(MATCH($E$2,{"Management";"Conservative"},0),N144,#REF!)</f>
        <v>188.86377667548609</v>
      </c>
      <c r="O35" s="70">
        <f>CHOOSE(MATCH($E$2,{"Management";"Conservative"},0),O144,#REF!)</f>
        <v>170.69273058995893</v>
      </c>
      <c r="P35" s="70">
        <f>CHOOSE(MATCH($E$2,{"Management";"Conservative"},0),P144,#REF!)</f>
        <v>149.31593253551375</v>
      </c>
      <c r="Q35" s="70">
        <f>CHOOSE(MATCH($E$2,{"Management";"Conservative"},0),Q144,#REF!)</f>
        <v>109.15221744986796</v>
      </c>
      <c r="R35" s="70">
        <f>CHOOSE(MATCH($E$2,{"Management";"Conservative"},0),R144,#REF!)</f>
        <v>48.598995945376892</v>
      </c>
      <c r="S35" s="70">
        <f>CHOOSE(MATCH($E$2,{"Management";"Conservative"},0),S144,#REF!)</f>
        <v>0</v>
      </c>
    </row>
    <row r="36" spans="2:19" outlineLevel="1">
      <c r="C36" s="28" t="s">
        <v>256</v>
      </c>
      <c r="D36" s="28"/>
      <c r="E36" s="20"/>
      <c r="F36" s="20"/>
      <c r="G36" s="20"/>
      <c r="H36" s="20"/>
      <c r="I36" s="20"/>
      <c r="J36" s="77">
        <f>CHOOSE(MATCH($E$2,{"Management";"Conservative"},0),J145,#REF!)</f>
        <v>2</v>
      </c>
      <c r="K36" s="77">
        <f>CHOOSE(MATCH($E$2,{"Management";"Conservative"},0),K145,#REF!)</f>
        <v>2</v>
      </c>
      <c r="L36" s="77">
        <f>CHOOSE(MATCH($E$2,{"Management";"Conservative"},0),L145,#REF!)</f>
        <v>2</v>
      </c>
      <c r="M36" s="77">
        <f>CHOOSE(MATCH($E$2,{"Management";"Conservative"},0),M145,#REF!)</f>
        <v>2</v>
      </c>
      <c r="N36" s="77">
        <f>CHOOSE(MATCH($E$2,{"Management";"Conservative"},0),N145,#REF!)</f>
        <v>2</v>
      </c>
      <c r="O36" s="77">
        <f>CHOOSE(MATCH($E$2,{"Management";"Conservative"},0),O145,#REF!)</f>
        <v>2</v>
      </c>
      <c r="P36" s="77">
        <f>CHOOSE(MATCH($E$2,{"Management";"Conservative"},0),P145,#REF!)</f>
        <v>2</v>
      </c>
      <c r="Q36" s="77">
        <f>CHOOSE(MATCH($E$2,{"Management";"Conservative"},0),Q145,#REF!)</f>
        <v>2</v>
      </c>
      <c r="R36" s="77">
        <f>CHOOSE(MATCH($E$2,{"Management";"Conservative"},0),R145,#REF!)</f>
        <v>2</v>
      </c>
      <c r="S36" s="77">
        <f>CHOOSE(MATCH($E$2,{"Management";"Conservative"},0),S145,#REF!)</f>
        <v>2</v>
      </c>
    </row>
    <row r="37" spans="2:19" outlineLevel="1">
      <c r="C37" s="28" t="s">
        <v>98</v>
      </c>
      <c r="D37" s="28"/>
      <c r="E37" s="20"/>
      <c r="F37" s="20"/>
      <c r="G37" s="20"/>
      <c r="H37" s="20"/>
      <c r="I37" s="20"/>
      <c r="J37" s="70">
        <f>CHOOSE(MATCH($E$2,{"Management";"Conservative"},0),J146,#REF!)</f>
        <v>253.78019999999998</v>
      </c>
      <c r="K37" s="70">
        <f>CHOOSE(MATCH($E$2,{"Management";"Conservative"},0),K146,#REF!)</f>
        <v>317.03763201694773</v>
      </c>
      <c r="L37" s="70">
        <f>CHOOSE(MATCH($E$2,{"Management";"Conservative"},0),L146,#REF!)</f>
        <v>333.74440170902511</v>
      </c>
      <c r="M37" s="70">
        <f>CHOOSE(MATCH($E$2,{"Management";"Conservative"},0),M146,#REF!)</f>
        <v>356.01602299811589</v>
      </c>
      <c r="N37" s="70">
        <f>CHOOSE(MATCH($E$2,{"Management";"Conservative"},0),N146,#REF!)</f>
        <v>377.72755335097219</v>
      </c>
      <c r="O37" s="70">
        <f>CHOOSE(MATCH($E$2,{"Management";"Conservative"},0),O146,#REF!)</f>
        <v>341.38546117991785</v>
      </c>
      <c r="P37" s="70">
        <f>CHOOSE(MATCH($E$2,{"Management";"Conservative"},0),P146,#REF!)</f>
        <v>298.63186507102751</v>
      </c>
      <c r="Q37" s="70">
        <f>CHOOSE(MATCH($E$2,{"Management";"Conservative"},0),Q146,#REF!)</f>
        <v>218.30443489973592</v>
      </c>
      <c r="R37" s="70">
        <f>CHOOSE(MATCH($E$2,{"Management";"Conservative"},0),R146,#REF!)</f>
        <v>97.197991890753784</v>
      </c>
      <c r="S37" s="70">
        <f>CHOOSE(MATCH($E$2,{"Management";"Conservative"},0),S146,#REF!)</f>
        <v>0</v>
      </c>
    </row>
    <row r="38" spans="2:19" outlineLevel="1">
      <c r="C38" s="28"/>
      <c r="D38" s="2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2:19" outlineLevel="1">
      <c r="B39" t="s">
        <v>0</v>
      </c>
      <c r="C39" s="42" t="s">
        <v>257</v>
      </c>
      <c r="D39" s="63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</row>
    <row r="40" spans="2:19" outlineLevel="1">
      <c r="C40" t="s">
        <v>29</v>
      </c>
      <c r="D40" s="28"/>
      <c r="E40" s="6">
        <f>CHOOSE(MATCH($E$2,{"Management";"Conservative"},0),E149,#REF!)</f>
        <v>5.5</v>
      </c>
      <c r="F40" s="6">
        <f>CHOOSE(MATCH($E$2,{"Management";"Conservative"},0),F149,#REF!)</f>
        <v>11.5</v>
      </c>
      <c r="G40" s="6">
        <f>CHOOSE(MATCH($E$2,{"Management";"Conservative"},0),G149,#REF!)</f>
        <v>19</v>
      </c>
      <c r="H40" s="6">
        <f>CHOOSE(MATCH($E$2,{"Management";"Conservative"},0),H149,#REF!)</f>
        <v>30.9</v>
      </c>
      <c r="I40" s="6">
        <f>CHOOSE(MATCH($E$2,{"Management";"Conservative"},0),I149,#REF!)</f>
        <v>26.6</v>
      </c>
      <c r="J40" s="30">
        <f>CHOOSE(MATCH($E$2,{"Management";"Conservative"},0),J149,#REF!)</f>
        <v>14.626968292491904</v>
      </c>
      <c r="K40" s="30">
        <f>CHOOSE(MATCH($E$2,{"Management";"Conservative"},0),K149,#REF!)</f>
        <v>20.415725712432195</v>
      </c>
      <c r="L40" s="30">
        <f>CHOOSE(MATCH($E$2,{"Management";"Conservative"},0),L149,#REF!)</f>
        <v>27.410596486257667</v>
      </c>
      <c r="M40" s="30">
        <f>CHOOSE(MATCH($E$2,{"Management";"Conservative"},0),M149,#REF!)</f>
        <v>34.655265280445256</v>
      </c>
      <c r="N40" s="30">
        <f>CHOOSE(MATCH($E$2,{"Management";"Conservative"},0),N149,#REF!)</f>
        <v>42.21281646748497</v>
      </c>
      <c r="O40" s="30">
        <f>CHOOSE(MATCH($E$2,{"Management";"Conservative"},0),O149,#REF!)</f>
        <v>49.497181318030187</v>
      </c>
      <c r="P40" s="30">
        <f>CHOOSE(MATCH($E$2,{"Management";"Conservative"},0),P149,#REF!)</f>
        <v>57.94580303082499</v>
      </c>
      <c r="Q40" s="30">
        <f>CHOOSE(MATCH($E$2,{"Management";"Conservative"},0),Q149,#REF!)</f>
        <v>68.360128607307104</v>
      </c>
      <c r="R40" s="30">
        <f>CHOOSE(MATCH($E$2,{"Management";"Conservative"},0),R149,#REF!)</f>
        <v>81.500982349802811</v>
      </c>
      <c r="S40" s="30">
        <f>CHOOSE(MATCH($E$2,{"Management";"Conservative"},0),S149,#REF!)</f>
        <v>97.553833608422508</v>
      </c>
    </row>
    <row r="41" spans="2:19" outlineLevel="1">
      <c r="C41" s="74" t="s">
        <v>258</v>
      </c>
      <c r="D41" s="28"/>
      <c r="E41" s="142"/>
      <c r="F41" s="142">
        <f>CHOOSE(MATCH($E$2,{"Management";"Conservative"},0),F150,#REF!)</f>
        <v>8.7207097899446428E-3</v>
      </c>
      <c r="G41" s="142">
        <f>CHOOSE(MATCH($E$2,{"Management";"Conservative"},0),G150,#REF!)</f>
        <v>1.6170212765957447E-2</v>
      </c>
      <c r="H41" s="142">
        <f>CHOOSE(MATCH($E$2,{"Management";"Conservative"},0),H150,#REF!)</f>
        <v>1.6494955426253136E-2</v>
      </c>
      <c r="I41" s="142">
        <f>CHOOSE(MATCH($E$2,{"Management";"Conservative"},0),I150,#REF!)</f>
        <v>4.1310762540767203E-2</v>
      </c>
      <c r="J41" s="142">
        <f>CHOOSE(MATCH($E$2,{"Management";"Conservative"},0),J150,#REF!)</f>
        <v>2.0674160130730607E-2</v>
      </c>
      <c r="K41" s="142">
        <f>CHOOSE(MATCH($E$2,{"Management";"Conservative"},0),K150,#REF!)</f>
        <v>2.0674160130730607E-2</v>
      </c>
      <c r="L41" s="142">
        <f>CHOOSE(MATCH($E$2,{"Management";"Conservative"},0),L150,#REF!)</f>
        <v>2.0674160130730607E-2</v>
      </c>
      <c r="M41" s="142">
        <f>CHOOSE(MATCH($E$2,{"Management";"Conservative"},0),M150,#REF!)</f>
        <v>2.0674160130730607E-2</v>
      </c>
      <c r="N41" s="142">
        <f>CHOOSE(MATCH($E$2,{"Management";"Conservative"},0),N150,#REF!)</f>
        <v>2.0674160130730607E-2</v>
      </c>
      <c r="O41" s="142">
        <f>CHOOSE(MATCH($E$2,{"Management";"Conservative"},0),O150,#REF!)</f>
        <v>2.0674160130730607E-2</v>
      </c>
      <c r="P41" s="142">
        <f>CHOOSE(MATCH($E$2,{"Management";"Conservative"},0),P150,#REF!)</f>
        <v>2.0674160130730607E-2</v>
      </c>
      <c r="Q41" s="142">
        <f>CHOOSE(MATCH($E$2,{"Management";"Conservative"},0),Q150,#REF!)</f>
        <v>2.0674160130730607E-2</v>
      </c>
      <c r="R41" s="142">
        <f>CHOOSE(MATCH($E$2,{"Management";"Conservative"},0),R150,#REF!)</f>
        <v>2.0674160130730607E-2</v>
      </c>
      <c r="S41" s="142">
        <f>CHOOSE(MATCH($E$2,{"Management";"Conservative"},0),S150,#REF!)</f>
        <v>2.0674160130730607E-2</v>
      </c>
    </row>
    <row r="42" spans="2:19" outlineLevel="1">
      <c r="C42" s="74"/>
      <c r="D42" s="28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</row>
    <row r="43" spans="2:19" outlineLevel="1">
      <c r="C43" t="s">
        <v>30</v>
      </c>
      <c r="D43" s="28"/>
      <c r="E43" s="6">
        <f>CHOOSE(MATCH($E$2,{"Management";"Conservative"},0),E152,#REF!)</f>
        <v>6</v>
      </c>
      <c r="F43" s="6">
        <f>CHOOSE(MATCH($E$2,{"Management";"Conservative"},0),F152,#REF!)</f>
        <v>7</v>
      </c>
      <c r="G43" s="6">
        <f>CHOOSE(MATCH($E$2,{"Management";"Conservative"},0),G152,#REF!)</f>
        <v>6.9</v>
      </c>
      <c r="H43" s="6">
        <f>CHOOSE(MATCH($E$2,{"Management";"Conservative"},0),H152,#REF!)</f>
        <v>7.3</v>
      </c>
      <c r="I43" s="6">
        <f>CHOOSE(MATCH($E$2,{"Management";"Conservative"},0),I152,#REF!)</f>
        <v>7.3</v>
      </c>
      <c r="J43" s="30">
        <f>CHOOSE(MATCH($E$2,{"Management";"Conservative"},0),J152,#REF!)</f>
        <v>6.9</v>
      </c>
      <c r="K43" s="30">
        <f>CHOOSE(MATCH($E$2,{"Management";"Conservative"},0),K152,#REF!)</f>
        <v>6.9</v>
      </c>
      <c r="L43" s="30">
        <f>CHOOSE(MATCH($E$2,{"Management";"Conservative"},0),L152,#REF!)</f>
        <v>6.9</v>
      </c>
      <c r="M43" s="30">
        <f>CHOOSE(MATCH($E$2,{"Management";"Conservative"},0),M152,#REF!)</f>
        <v>6.9</v>
      </c>
      <c r="N43" s="30">
        <f>CHOOSE(MATCH($E$2,{"Management";"Conservative"},0),N152,#REF!)</f>
        <v>6.9</v>
      </c>
      <c r="O43" s="30">
        <f>CHOOSE(MATCH($E$2,{"Management";"Conservative"},0),O152,#REF!)</f>
        <v>6.9</v>
      </c>
      <c r="P43" s="30">
        <f>CHOOSE(MATCH($E$2,{"Management";"Conservative"},0),P152,#REF!)</f>
        <v>6.9</v>
      </c>
      <c r="Q43" s="30">
        <f>CHOOSE(MATCH($E$2,{"Management";"Conservative"},0),Q152,#REF!)</f>
        <v>6.9</v>
      </c>
      <c r="R43" s="30">
        <f>CHOOSE(MATCH($E$2,{"Management";"Conservative"},0),R152,#REF!)</f>
        <v>6.9</v>
      </c>
      <c r="S43" s="30">
        <f>CHOOSE(MATCH($E$2,{"Management";"Conservative"},0),S152,#REF!)</f>
        <v>6.9</v>
      </c>
    </row>
    <row r="44" spans="2:19" outlineLevel="1">
      <c r="C44" t="s">
        <v>31</v>
      </c>
      <c r="D44" s="28"/>
      <c r="E44" s="6">
        <f>CHOOSE(MATCH($E$2,{"Management";"Conservative"},0),E153,#REF!)</f>
        <v>24.7</v>
      </c>
      <c r="F44" s="6">
        <f>CHOOSE(MATCH($E$2,{"Management";"Conservative"},0),F153,#REF!)</f>
        <v>17.8</v>
      </c>
      <c r="G44" s="6">
        <f>CHOOSE(MATCH($E$2,{"Management";"Conservative"},0),G153,#REF!)</f>
        <v>48.4</v>
      </c>
      <c r="H44" s="6">
        <f>CHOOSE(MATCH($E$2,{"Management";"Conservative"},0),H153,#REF!)</f>
        <v>86.3</v>
      </c>
      <c r="I44" s="6">
        <f>CHOOSE(MATCH($E$2,{"Management";"Conservative"},0),I153,#REF!)</f>
        <v>2.5</v>
      </c>
      <c r="J44" s="30">
        <f>CHOOSE(MATCH($E$2,{"Management";"Conservative"},0),J153,#REF!)</f>
        <v>23.35</v>
      </c>
      <c r="K44" s="30">
        <f>CHOOSE(MATCH($E$2,{"Management";"Conservative"},0),K153,#REF!)</f>
        <v>23.35</v>
      </c>
      <c r="L44" s="30">
        <f>CHOOSE(MATCH($E$2,{"Management";"Conservative"},0),L153,#REF!)</f>
        <v>23.35</v>
      </c>
      <c r="M44" s="30">
        <f>CHOOSE(MATCH($E$2,{"Management";"Conservative"},0),M153,#REF!)</f>
        <v>23.35</v>
      </c>
      <c r="N44" s="30">
        <f>CHOOSE(MATCH($E$2,{"Management";"Conservative"},0),N153,#REF!)</f>
        <v>23.35</v>
      </c>
      <c r="O44" s="30">
        <f>CHOOSE(MATCH($E$2,{"Management";"Conservative"},0),O153,#REF!)</f>
        <v>23.35</v>
      </c>
      <c r="P44" s="30">
        <f>CHOOSE(MATCH($E$2,{"Management";"Conservative"},0),P153,#REF!)</f>
        <v>23.35</v>
      </c>
      <c r="Q44" s="30">
        <f>CHOOSE(MATCH($E$2,{"Management";"Conservative"},0),Q153,#REF!)</f>
        <v>23.35</v>
      </c>
      <c r="R44" s="30">
        <f>CHOOSE(MATCH($E$2,{"Management";"Conservative"},0),R153,#REF!)</f>
        <v>23.35</v>
      </c>
      <c r="S44" s="30">
        <f>CHOOSE(MATCH($E$2,{"Management";"Conservative"},0),S153,#REF!)</f>
        <v>23.35</v>
      </c>
    </row>
    <row r="45" spans="2:19" outlineLevel="1">
      <c r="D45" s="28"/>
      <c r="E45" s="6"/>
      <c r="F45" s="6"/>
      <c r="G45" s="6"/>
      <c r="H45" s="6"/>
      <c r="I45" s="6"/>
      <c r="J45" s="30"/>
      <c r="K45" s="30"/>
      <c r="L45" s="30"/>
      <c r="M45" s="30"/>
      <c r="N45" s="30"/>
      <c r="O45" s="30"/>
      <c r="P45" s="30"/>
      <c r="Q45" s="30"/>
      <c r="R45" s="30"/>
      <c r="S45" s="30"/>
    </row>
    <row r="46" spans="2:19" outlineLevel="1">
      <c r="C46" t="s">
        <v>32</v>
      </c>
      <c r="D46" s="28"/>
      <c r="E46" s="6">
        <f>CHOOSE(MATCH($E$2,{"Management";"Conservative"},0),E155,#REF!)</f>
        <v>0.5</v>
      </c>
      <c r="F46" s="6">
        <f>CHOOSE(MATCH($E$2,{"Management";"Conservative"},0),F155,#REF!)</f>
        <v>0.4</v>
      </c>
      <c r="G46" s="6">
        <f>CHOOSE(MATCH($E$2,{"Management";"Conservative"},0),G155,#REF!)</f>
        <v>0.4</v>
      </c>
      <c r="H46" s="6">
        <f>CHOOSE(MATCH($E$2,{"Management";"Conservative"},0),H155,#REF!)</f>
        <v>1.1000000000000001</v>
      </c>
      <c r="I46" s="6">
        <f>CHOOSE(MATCH($E$2,{"Management";"Conservative"},0),I155,#REF!)</f>
        <v>3.6</v>
      </c>
      <c r="J46" s="30">
        <f>CHOOSE(MATCH($E$2,{"Management";"Conservative"},0),J155,#REF!)</f>
        <v>3.6</v>
      </c>
      <c r="K46" s="30">
        <f>CHOOSE(MATCH($E$2,{"Management";"Conservative"},0),K155,#REF!)</f>
        <v>3.6</v>
      </c>
      <c r="L46" s="30">
        <f>CHOOSE(MATCH($E$2,{"Management";"Conservative"},0),L155,#REF!)</f>
        <v>3.6</v>
      </c>
      <c r="M46" s="30">
        <f>CHOOSE(MATCH($E$2,{"Management";"Conservative"},0),M155,#REF!)</f>
        <v>3.6</v>
      </c>
      <c r="N46" s="30">
        <f>CHOOSE(MATCH($E$2,{"Management";"Conservative"},0),N155,#REF!)</f>
        <v>3.6</v>
      </c>
      <c r="O46" s="30">
        <f>CHOOSE(MATCH($E$2,{"Management";"Conservative"},0),O155,#REF!)</f>
        <v>3.6</v>
      </c>
      <c r="P46" s="30">
        <f>CHOOSE(MATCH($E$2,{"Management";"Conservative"},0),P155,#REF!)</f>
        <v>3.6</v>
      </c>
      <c r="Q46" s="30">
        <f>CHOOSE(MATCH($E$2,{"Management";"Conservative"},0),Q155,#REF!)</f>
        <v>3.6</v>
      </c>
      <c r="R46" s="30">
        <f>CHOOSE(MATCH($E$2,{"Management";"Conservative"},0),R155,#REF!)</f>
        <v>3.6</v>
      </c>
      <c r="S46" s="30">
        <f>CHOOSE(MATCH($E$2,{"Management";"Conservative"},0),S155,#REF!)</f>
        <v>3.6</v>
      </c>
    </row>
    <row r="47" spans="2:19" outlineLevel="1">
      <c r="C47" s="7" t="s">
        <v>259</v>
      </c>
      <c r="D47" s="28"/>
      <c r="E47" s="61">
        <f>CHOOSE(MATCH($E$2,{"Management";"Conservative"},0),E156,#REF!)</f>
        <v>0.2</v>
      </c>
      <c r="F47" s="61">
        <f>CHOOSE(MATCH($E$2,{"Management";"Conservative"},0),F156,#REF!)</f>
        <v>4.3478260869565223E-2</v>
      </c>
      <c r="G47" s="61">
        <f>CHOOSE(MATCH($E$2,{"Management";"Conservative"},0),G156,#REF!)</f>
        <v>4.2105263157894736E-2</v>
      </c>
      <c r="H47" s="61">
        <f>CHOOSE(MATCH($E$2,{"Management";"Conservative"},0),H156,#REF!)</f>
        <v>5.7591623036649213E-2</v>
      </c>
      <c r="I47" s="61">
        <f>CHOOSE(MATCH($E$2,{"Management";"Conservative"},0),I156,#REF!)</f>
        <v>0.14937759336099585</v>
      </c>
      <c r="J47" s="61">
        <f>CHOOSE(MATCH($E$2,{"Management";"Conservative"},0),J156,#REF!)</f>
        <v>0.14937759336099585</v>
      </c>
      <c r="K47" s="61">
        <f>CHOOSE(MATCH($E$2,{"Management";"Conservative"},0),K156,#REF!)</f>
        <v>0.14937759336099585</v>
      </c>
      <c r="L47" s="61">
        <f>CHOOSE(MATCH($E$2,{"Management";"Conservative"},0),L156,#REF!)</f>
        <v>0.14937759336099585</v>
      </c>
      <c r="M47" s="61">
        <f>CHOOSE(MATCH($E$2,{"Management";"Conservative"},0),M156,#REF!)</f>
        <v>0.14937759336099585</v>
      </c>
      <c r="N47" s="61">
        <f>CHOOSE(MATCH($E$2,{"Management";"Conservative"},0),N156,#REF!)</f>
        <v>0.14937759336099585</v>
      </c>
      <c r="O47" s="61">
        <f>CHOOSE(MATCH($E$2,{"Management";"Conservative"},0),O156,#REF!)</f>
        <v>0.14937759336099585</v>
      </c>
      <c r="P47" s="61">
        <f>CHOOSE(MATCH($E$2,{"Management";"Conservative"},0),P156,#REF!)</f>
        <v>0.14937759336099585</v>
      </c>
      <c r="Q47" s="61">
        <f>CHOOSE(MATCH($E$2,{"Management";"Conservative"},0),Q156,#REF!)</f>
        <v>0.14937759336099585</v>
      </c>
      <c r="R47" s="61">
        <f>CHOOSE(MATCH($E$2,{"Management";"Conservative"},0),R156,#REF!)</f>
        <v>0.14937759336099585</v>
      </c>
      <c r="S47" s="61">
        <f>CHOOSE(MATCH($E$2,{"Management";"Conservative"},0),S156,#REF!)</f>
        <v>0.14937759336099585</v>
      </c>
    </row>
    <row r="48" spans="2:19" outlineLevel="1">
      <c r="D48" s="2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2:19" outlineLevel="1">
      <c r="B49" t="s">
        <v>0</v>
      </c>
      <c r="C49" s="42" t="s">
        <v>34</v>
      </c>
      <c r="D49" s="42"/>
      <c r="E49" s="43"/>
      <c r="F49" s="43"/>
      <c r="G49" s="43"/>
      <c r="H49" s="43"/>
      <c r="I49" s="43"/>
      <c r="J49" s="45"/>
      <c r="K49" s="45"/>
      <c r="L49" s="45"/>
      <c r="M49" s="45"/>
      <c r="N49" s="45"/>
      <c r="O49" s="45"/>
      <c r="P49" s="45"/>
      <c r="Q49" s="45"/>
      <c r="R49" s="45"/>
      <c r="S49" s="45"/>
    </row>
    <row r="50" spans="2:19" outlineLevel="1">
      <c r="C50" s="28" t="s">
        <v>260</v>
      </c>
      <c r="D50" s="28"/>
      <c r="E50" s="20">
        <f>CHOOSE(MATCH($E$2,{"Management";"Conservative"},0),E159,#REF!)</f>
        <v>0.22187647336162175</v>
      </c>
      <c r="F50" s="20">
        <f>CHOOSE(MATCH($E$2,{"Management";"Conservative"},0),F159,#REF!)</f>
        <v>0.21822742474916373</v>
      </c>
      <c r="G50" s="20">
        <f>CHOOSE(MATCH($E$2,{"Management";"Conservative"},0),G159,#REF!)</f>
        <v>0.22406888265919084</v>
      </c>
      <c r="H50" s="20">
        <f>CHOOSE(MATCH($E$2,{"Management";"Conservative"},0),H159,#REF!)</f>
        <v>0.20487877880873986</v>
      </c>
      <c r="I50" s="20">
        <f>CHOOSE(MATCH($E$2,{"Management";"Conservative"},0),I159,#REF!)</f>
        <v>0.20179142674344236</v>
      </c>
      <c r="J50" s="20">
        <f>CHOOSE(MATCH($E$2,{"Management";"Conservative"},0),J159,#REF!)</f>
        <v>0.20179142674344236</v>
      </c>
      <c r="K50" s="20">
        <f>CHOOSE(MATCH($E$2,{"Management";"Conservative"},0),K159,#REF!)</f>
        <v>0.20179142674344236</v>
      </c>
      <c r="L50" s="20">
        <f>CHOOSE(MATCH($E$2,{"Management";"Conservative"},0),L159,#REF!)</f>
        <v>0.20179142674344236</v>
      </c>
      <c r="M50" s="20">
        <f>CHOOSE(MATCH($E$2,{"Management";"Conservative"},0),M159,#REF!)</f>
        <v>0.20179142674344236</v>
      </c>
      <c r="N50" s="20">
        <f>CHOOSE(MATCH($E$2,{"Management";"Conservative"},0),N159,#REF!)</f>
        <v>0.20179142674344236</v>
      </c>
      <c r="O50" s="20">
        <f>CHOOSE(MATCH($E$2,{"Management";"Conservative"},0),O159,#REF!)</f>
        <v>0.20179142674344236</v>
      </c>
      <c r="P50" s="20">
        <f>CHOOSE(MATCH($E$2,{"Management";"Conservative"},0),P159,#REF!)</f>
        <v>0.20179142674344236</v>
      </c>
      <c r="Q50" s="20">
        <f>CHOOSE(MATCH($E$2,{"Management";"Conservative"},0),Q159,#REF!)</f>
        <v>0.20179142674344236</v>
      </c>
      <c r="R50" s="20">
        <f>CHOOSE(MATCH($E$2,{"Management";"Conservative"},0),R159,#REF!)</f>
        <v>0.20179142674344236</v>
      </c>
      <c r="S50" s="20">
        <f>CHOOSE(MATCH($E$2,{"Management";"Conservative"},0),S159,#REF!)</f>
        <v>0.20179142674344236</v>
      </c>
    </row>
    <row r="51" spans="2:19" outlineLevel="1">
      <c r="C51" s="28"/>
      <c r="D51" s="28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2:19" outlineLevel="1">
      <c r="B52" t="s">
        <v>0</v>
      </c>
      <c r="C52" s="42" t="s">
        <v>261</v>
      </c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</row>
    <row r="53" spans="2:19" outlineLevel="1">
      <c r="C53" t="s">
        <v>261</v>
      </c>
      <c r="E53" s="20">
        <f>CHOOSE(MATCH($E$2,{"Management";"Conservative"},0),E162,#REF!)</f>
        <v>0</v>
      </c>
      <c r="F53" s="20">
        <f>CHOOSE(MATCH($E$2,{"Management";"Conservative"},0),F162,#REF!)</f>
        <v>0</v>
      </c>
      <c r="G53" s="20">
        <f>CHOOSE(MATCH($E$2,{"Management";"Conservative"},0),G162,#REF!)</f>
        <v>0</v>
      </c>
      <c r="H53" s="20">
        <f>CHOOSE(MATCH($E$2,{"Management";"Conservative"},0),H162,#REF!)</f>
        <v>9.1648425960528894E-4</v>
      </c>
      <c r="I53" s="20">
        <f>CHOOSE(MATCH($E$2,{"Management";"Conservative"},0),I162,#REF!)</f>
        <v>0</v>
      </c>
      <c r="J53" s="20">
        <f>CHOOSE(MATCH($E$2,{"Management";"Conservative"},0),J162,#REF!)</f>
        <v>0</v>
      </c>
      <c r="K53" s="20">
        <f>CHOOSE(MATCH($E$2,{"Management";"Conservative"},0),K162,#REF!)</f>
        <v>0</v>
      </c>
      <c r="L53" s="20">
        <f>CHOOSE(MATCH($E$2,{"Management";"Conservative"},0),L162,#REF!)</f>
        <v>0</v>
      </c>
      <c r="M53" s="20">
        <f>CHOOSE(MATCH($E$2,{"Management";"Conservative"},0),M162,#REF!)</f>
        <v>0</v>
      </c>
      <c r="N53" s="20">
        <f>CHOOSE(MATCH($E$2,{"Management";"Conservative"},0),N162,#REF!)</f>
        <v>0</v>
      </c>
      <c r="O53" s="20">
        <f>CHOOSE(MATCH($E$2,{"Management";"Conservative"},0),O162,#REF!)</f>
        <v>0</v>
      </c>
      <c r="P53" s="20">
        <f>CHOOSE(MATCH($E$2,{"Management";"Conservative"},0),P162,#REF!)</f>
        <v>0</v>
      </c>
      <c r="Q53" s="20">
        <f>CHOOSE(MATCH($E$2,{"Management";"Conservative"},0),Q162,#REF!)</f>
        <v>0</v>
      </c>
      <c r="R53" s="20">
        <f>CHOOSE(MATCH($E$2,{"Management";"Conservative"},0),R162,#REF!)</f>
        <v>0</v>
      </c>
      <c r="S53" s="20">
        <f>CHOOSE(MATCH($E$2,{"Management";"Conservative"},0),S162,#REF!)</f>
        <v>0</v>
      </c>
    </row>
    <row r="54" spans="2:19" outlineLevel="1"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2:19" outlineLevel="1">
      <c r="C55" s="39" t="s">
        <v>36</v>
      </c>
      <c r="D55" s="54"/>
      <c r="E55" s="78"/>
      <c r="F55" s="78"/>
      <c r="G55" s="78"/>
      <c r="H55" s="78"/>
      <c r="I55" s="78"/>
      <c r="J55" s="64"/>
      <c r="K55" s="64"/>
      <c r="L55" s="64"/>
      <c r="M55" s="64"/>
      <c r="N55" s="64"/>
      <c r="O55" s="64"/>
      <c r="P55" s="64"/>
      <c r="Q55" s="64"/>
      <c r="R55" s="64"/>
      <c r="S55" s="64"/>
    </row>
    <row r="56" spans="2:19" outlineLevel="1">
      <c r="C56" s="58" t="s">
        <v>262</v>
      </c>
      <c r="E56" s="70">
        <f>CHOOSE(MATCH($E$2,{"Management";"Conservative"},0),E165,#REF!)</f>
        <v>0.6</v>
      </c>
      <c r="F56" s="70">
        <f>CHOOSE(MATCH($E$2,{"Management";"Conservative"},0),F165,#REF!)</f>
        <v>0.6</v>
      </c>
      <c r="G56" s="70">
        <f>CHOOSE(MATCH($E$2,{"Management";"Conservative"},0),G165,#REF!)</f>
        <v>0</v>
      </c>
      <c r="H56" s="70">
        <f>CHOOSE(MATCH($E$2,{"Management";"Conservative"},0),H165,#REF!)</f>
        <v>0.6</v>
      </c>
      <c r="I56" s="70">
        <f>CHOOSE(MATCH($E$2,{"Management";"Conservative"},0),I165,#REF!)</f>
        <v>2.1</v>
      </c>
      <c r="J56" s="70">
        <f>CHOOSE(MATCH($E$2,{"Management";"Conservative"},0),J165,#REF!)</f>
        <v>2.0933134295285711</v>
      </c>
      <c r="K56" s="70">
        <f>CHOOSE(MATCH($E$2,{"Management";"Conservative"},0),K165,#REF!)</f>
        <v>2.263181092188868</v>
      </c>
      <c r="L56" s="70">
        <f>CHOOSE(MATCH($E$2,{"Management";"Conservative"},0),L165,#REF!)</f>
        <v>2.4777407956781725</v>
      </c>
      <c r="M56" s="70">
        <f>CHOOSE(MATCH($E$2,{"Management";"Conservative"},0),M165,#REF!)</f>
        <v>2.6962513587142833</v>
      </c>
      <c r="N56" s="70">
        <f>CHOOSE(MATCH($E$2,{"Management";"Conservative"},0),N165,#REF!)</f>
        <v>2.9160008142451326</v>
      </c>
      <c r="O56" s="70">
        <f>CHOOSE(MATCH($E$2,{"Management";"Conservative"},0),O165,#REF!)</f>
        <v>3.1356345832457895</v>
      </c>
      <c r="P56" s="70">
        <f>CHOOSE(MATCH($E$2,{"Management";"Conservative"},0),P165,#REF!)</f>
        <v>3.3525323931030884</v>
      </c>
      <c r="Q56" s="70">
        <f>CHOOSE(MATCH($E$2,{"Management";"Conservative"},0),Q165,#REF!)</f>
        <v>3.56392636932764</v>
      </c>
      <c r="R56" s="70">
        <f>CHOOSE(MATCH($E$2,{"Management";"Conservative"},0),R165,#REF!)</f>
        <v>3.766955584371948</v>
      </c>
      <c r="S56" s="70">
        <f>CHOOSE(MATCH($E$2,{"Management";"Conservative"},0),S165,#REF!)</f>
        <v>3.9587272851742767</v>
      </c>
    </row>
    <row r="57" spans="2:19" outlineLevel="1">
      <c r="C57" s="56" t="s">
        <v>5</v>
      </c>
      <c r="E57" s="20">
        <f>CHOOSE(MATCH($E$2,{"Management";"Conservative"},0),E166,#REF!)</f>
        <v>7.6165329541992476E-5</v>
      </c>
      <c r="F57" s="20">
        <f>CHOOSE(MATCH($E$2,{"Management";"Conservative"},0),F166,#REF!)</f>
        <v>6.4848740313219405E-5</v>
      </c>
      <c r="G57" s="20">
        <f>CHOOSE(MATCH($E$2,{"Management";"Conservative"},0),G166,#REF!)</f>
        <v>0</v>
      </c>
      <c r="H57" s="20">
        <f>CHOOSE(MATCH($E$2,{"Management";"Conservative"},0),H166,#REF!)</f>
        <v>5.3387432598366338E-5</v>
      </c>
      <c r="I57" s="20">
        <f>CHOOSE(MATCH($E$2,{"Management";"Conservative"},0),I166,#REF!)</f>
        <v>1.7852436857631069E-4</v>
      </c>
      <c r="J57" s="20">
        <f>CHOOSE(MATCH($E$2,{"Management";"Conservative"},0),J166,#REF!)</f>
        <v>1.85E-4</v>
      </c>
      <c r="K57" s="20">
        <f>CHOOSE(MATCH($E$2,{"Management";"Conservative"},0),K166,#REF!)</f>
        <v>1.9000000000000001E-4</v>
      </c>
      <c r="L57" s="20">
        <f>CHOOSE(MATCH($E$2,{"Management";"Conservative"},0),L166,#REF!)</f>
        <v>1.9500000000000002E-4</v>
      </c>
      <c r="M57" s="20">
        <f>CHOOSE(MATCH($E$2,{"Management";"Conservative"},0),M166,#REF!)</f>
        <v>2.0000000000000004E-4</v>
      </c>
      <c r="N57" s="20">
        <f>CHOOSE(MATCH($E$2,{"Management";"Conservative"},0),N166,#REF!)</f>
        <v>2.0500000000000005E-4</v>
      </c>
      <c r="O57" s="20">
        <f>CHOOSE(MATCH($E$2,{"Management";"Conservative"},0),O166,#REF!)</f>
        <v>2.1000000000000006E-4</v>
      </c>
      <c r="P57" s="20">
        <f>CHOOSE(MATCH($E$2,{"Management";"Conservative"},0),P166,#REF!)</f>
        <v>2.1500000000000008E-4</v>
      </c>
      <c r="Q57" s="20">
        <f>CHOOSE(MATCH($E$2,{"Management";"Conservative"},0),Q166,#REF!)</f>
        <v>2.2000000000000009E-4</v>
      </c>
      <c r="R57" s="20">
        <f>CHOOSE(MATCH($E$2,{"Management";"Conservative"},0),R166,#REF!)</f>
        <v>2.250000000000001E-4</v>
      </c>
      <c r="S57" s="20">
        <f>CHOOSE(MATCH($E$2,{"Management";"Conservative"},0),S166,#REF!)</f>
        <v>2.3000000000000012E-4</v>
      </c>
    </row>
    <row r="58" spans="2:19" outlineLevel="1">
      <c r="C58" s="56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2:19" outlineLevel="1">
      <c r="C59" s="39" t="s">
        <v>263</v>
      </c>
      <c r="D59" s="54"/>
      <c r="E59" s="78"/>
      <c r="F59" s="78"/>
      <c r="G59" s="78"/>
      <c r="H59" s="78"/>
      <c r="I59" s="78"/>
      <c r="J59" s="64"/>
      <c r="K59" s="64"/>
      <c r="L59" s="64"/>
      <c r="M59" s="64"/>
      <c r="N59" s="64"/>
      <c r="O59" s="64"/>
      <c r="P59" s="64"/>
      <c r="Q59" s="64"/>
      <c r="R59" s="64"/>
      <c r="S59" s="64"/>
    </row>
    <row r="60" spans="2:19" outlineLevel="1">
      <c r="E60" s="72"/>
      <c r="F60" s="72"/>
      <c r="G60" s="72"/>
      <c r="H60" s="72"/>
      <c r="I60" s="72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2:19" outlineLevel="1">
      <c r="C61" t="s">
        <v>43</v>
      </c>
      <c r="E61" s="150">
        <f>CHOOSE(MATCH($E$2,{"Management";"Conservative"},0),E170,#REF!)</f>
        <v>1361.8</v>
      </c>
      <c r="F61" s="150">
        <f>CHOOSE(MATCH($E$2,{"Management";"Conservative"},0),F170,#REF!)</f>
        <v>1576.8</v>
      </c>
      <c r="G61" s="150">
        <f>CHOOSE(MATCH($E$2,{"Management";"Conservative"},0),G170,#REF!)</f>
        <v>1719.6</v>
      </c>
      <c r="H61" s="150">
        <f>CHOOSE(MATCH($E$2,{"Management";"Conservative"},0),H170,#REF!)</f>
        <v>2009.2</v>
      </c>
      <c r="I61" s="150">
        <f>CHOOSE(MATCH($E$2,{"Management";"Conservative"},0),I170,#REF!)</f>
        <v>2175</v>
      </c>
      <c r="J61" s="150">
        <f>CHOOSE(MATCH($E$2,{"Management";"Conservative"},0),J170,#REF!)</f>
        <v>2139.0392689740306</v>
      </c>
      <c r="K61" s="150">
        <f>CHOOSE(MATCH($E$2,{"Management";"Conservative"},0),K170,#REF!)</f>
        <v>2186.4907451572335</v>
      </c>
      <c r="L61" s="150">
        <f>CHOOSE(MATCH($E$2,{"Management";"Conservative"},0),L170,#REF!)</f>
        <v>2259.8619536400356</v>
      </c>
      <c r="M61" s="150">
        <f>CHOOSE(MATCH($E$2,{"Management";"Conservative"},0),M170,#REF!)</f>
        <v>2397.6789568932304</v>
      </c>
      <c r="N61" s="150">
        <f>CHOOSE(MATCH($E$2,{"Management";"Conservative"},0),N170,#REF!)</f>
        <v>2529.8480110632195</v>
      </c>
      <c r="O61" s="150">
        <f>CHOOSE(MATCH($E$2,{"Management";"Conservative"},0),O170,#REF!)</f>
        <v>2655.6253237458518</v>
      </c>
      <c r="P61" s="150">
        <f>CHOOSE(MATCH($E$2,{"Management";"Conservative"},0),P170,#REF!)</f>
        <v>2773.289282670491</v>
      </c>
      <c r="Q61" s="150">
        <f>CHOOSE(MATCH($E$2,{"Management";"Conservative"},0),Q170,#REF!)</f>
        <v>2881.1554612112736</v>
      </c>
      <c r="R61" s="150">
        <f>CHOOSE(MATCH($E$2,{"Management";"Conservative"},0),R170,#REF!)</f>
        <v>2977.6156051322641</v>
      </c>
      <c r="S61" s="150">
        <f>CHOOSE(MATCH($E$2,{"Management";"Conservative"},0),S170,#REF!)</f>
        <v>3061.1766985828936</v>
      </c>
    </row>
    <row r="62" spans="2:19" outlineLevel="1">
      <c r="C62" t="s">
        <v>161</v>
      </c>
      <c r="E62" s="150">
        <f>CHOOSE(MATCH($E$2,{"Management";"Conservative"},0),E171,#REF!)</f>
        <v>0</v>
      </c>
      <c r="F62" s="150">
        <f>CHOOSE(MATCH($E$2,{"Management";"Conservative"},0),F171,#REF!)</f>
        <v>57.963371269846405</v>
      </c>
      <c r="G62" s="150">
        <f>CHOOSE(MATCH($E$2,{"Management";"Conservative"},0),G171,#REF!)</f>
        <v>57.339350731047091</v>
      </c>
      <c r="H62" s="150">
        <f>CHOOSE(MATCH($E$2,{"Management";"Conservative"},0),H171,#REF!)</f>
        <v>60.550780346306482</v>
      </c>
      <c r="I62" s="150">
        <f>CHOOSE(MATCH($E$2,{"Management";"Conservative"},0),I171,#REF!)</f>
        <v>64.916263569977303</v>
      </c>
      <c r="J62" s="150">
        <f>CHOOSE(MATCH($E$2,{"Management";"Conservative"},0),J171,#REF!)</f>
        <v>69</v>
      </c>
      <c r="K62" s="150">
        <f>CHOOSE(MATCH($E$2,{"Management";"Conservative"},0),K171,#REF!)</f>
        <v>67</v>
      </c>
      <c r="L62" s="150">
        <f>CHOOSE(MATCH($E$2,{"Management";"Conservative"},0),L171,#REF!)</f>
        <v>64.916263569977303</v>
      </c>
      <c r="M62" s="150">
        <f>CHOOSE(MATCH($E$2,{"Management";"Conservative"},0),M171,#REF!)</f>
        <v>64.916263569977303</v>
      </c>
      <c r="N62" s="150">
        <f>CHOOSE(MATCH($E$2,{"Management";"Conservative"},0),N171,#REF!)</f>
        <v>64.916263569977303</v>
      </c>
      <c r="O62" s="150">
        <f>CHOOSE(MATCH($E$2,{"Management";"Conservative"},0),O171,#REF!)</f>
        <v>64.916263569977303</v>
      </c>
      <c r="P62" s="150">
        <f>CHOOSE(MATCH($E$2,{"Management";"Conservative"},0),P171,#REF!)</f>
        <v>64.916263569977303</v>
      </c>
      <c r="Q62" s="150">
        <f>CHOOSE(MATCH($E$2,{"Management";"Conservative"},0),Q171,#REF!)</f>
        <v>64.916263569977303</v>
      </c>
      <c r="R62" s="150">
        <f>CHOOSE(MATCH($E$2,{"Management";"Conservative"},0),R171,#REF!)</f>
        <v>64.916263569977303</v>
      </c>
      <c r="S62" s="150">
        <f>CHOOSE(MATCH($E$2,{"Management";"Conservative"},0),S171,#REF!)</f>
        <v>64.916263569977303</v>
      </c>
    </row>
    <row r="63" spans="2:19" outlineLevel="1">
      <c r="E63" s="150"/>
      <c r="F63" s="150"/>
      <c r="G63" s="150"/>
      <c r="H63" s="150"/>
      <c r="I63" s="150"/>
      <c r="J63" s="151"/>
      <c r="K63" s="151"/>
      <c r="L63" s="151"/>
      <c r="M63" s="151"/>
      <c r="N63" s="151"/>
      <c r="O63" s="151"/>
      <c r="P63" s="151"/>
      <c r="Q63" s="151"/>
      <c r="R63" s="151"/>
      <c r="S63" s="151"/>
    </row>
    <row r="64" spans="2:19" outlineLevel="1">
      <c r="C64" t="s">
        <v>44</v>
      </c>
      <c r="E64" s="150">
        <f>CHOOSE(MATCH($E$2,{"Management";"Conservative"},0),E173,#REF!)</f>
        <v>814</v>
      </c>
      <c r="F64" s="150">
        <f>CHOOSE(MATCH($E$2,{"Management";"Conservative"},0),F173,#REF!)</f>
        <v>1158.3</v>
      </c>
      <c r="G64" s="150">
        <f>CHOOSE(MATCH($E$2,{"Management";"Conservative"},0),G173,#REF!)</f>
        <v>1212.8</v>
      </c>
      <c r="H64" s="150">
        <f>CHOOSE(MATCH($E$2,{"Management";"Conservative"},0),H173,#REF!)</f>
        <v>1240.7</v>
      </c>
      <c r="I64" s="150">
        <f>CHOOSE(MATCH($E$2,{"Management";"Conservative"},0),I173,#REF!)</f>
        <v>1348.9</v>
      </c>
      <c r="J64" s="150">
        <f>CHOOSE(MATCH($E$2,{"Management";"Conservative"},0),J173,#REF!)</f>
        <v>1395.0256102004548</v>
      </c>
      <c r="K64" s="150">
        <f>CHOOSE(MATCH($E$2,{"Management";"Conservative"},0),K173,#REF!)</f>
        <v>1395.1116321712202</v>
      </c>
      <c r="L64" s="150">
        <f>CHOOSE(MATCH($E$2,{"Management";"Conservative"},0),L173,#REF!)</f>
        <v>1384.5803327946699</v>
      </c>
      <c r="M64" s="150">
        <f>CHOOSE(MATCH($E$2,{"Management";"Conservative"},0),M173,#REF!)</f>
        <v>1469.0185489970863</v>
      </c>
      <c r="N64" s="150">
        <f>CHOOSE(MATCH($E$2,{"Management";"Conservative"},0),N173,#REF!)</f>
        <v>1549.9963594837307</v>
      </c>
      <c r="O64" s="150">
        <f>CHOOSE(MATCH($E$2,{"Management";"Conservative"},0),O173,#REF!)</f>
        <v>1627.0580548548267</v>
      </c>
      <c r="P64" s="150">
        <f>CHOOSE(MATCH($E$2,{"Management";"Conservative"},0),P173,#REF!)</f>
        <v>1699.1488315252345</v>
      </c>
      <c r="Q64" s="150">
        <f>CHOOSE(MATCH($E$2,{"Management";"Conservative"},0),Q173,#REF!)</f>
        <v>1765.2366689441194</v>
      </c>
      <c r="R64" s="150">
        <f>CHOOSE(MATCH($E$2,{"Management";"Conservative"},0),R173,#REF!)</f>
        <v>1824.336216133903</v>
      </c>
      <c r="S64" s="150">
        <f>CHOOSE(MATCH($E$2,{"Management";"Conservative"},0),S173,#REF!)</f>
        <v>1875.532726784566</v>
      </c>
    </row>
    <row r="65" spans="2:19" outlineLevel="1">
      <c r="C65" t="s">
        <v>162</v>
      </c>
      <c r="E65" s="150">
        <f>CHOOSE(MATCH($E$2,{"Management";"Conservative"},0),E174,#REF!)</f>
        <v>0</v>
      </c>
      <c r="F65" s="150">
        <f>CHOOSE(MATCH($E$2,{"Management";"Conservative"},0),F174,#REF!)</f>
        <v>80.68700963909437</v>
      </c>
      <c r="G65" s="150">
        <f>CHOOSE(MATCH($E$2,{"Management";"Conservative"},0),G174,#REF!)</f>
        <v>81.461925828313255</v>
      </c>
      <c r="H65" s="150">
        <f>CHOOSE(MATCH($E$2,{"Management";"Conservative"},0),H174,#REF!)</f>
        <v>85.880499827381172</v>
      </c>
      <c r="I65" s="150">
        <f>CHOOSE(MATCH($E$2,{"Management";"Conservative"},0),I174,#REF!)</f>
        <v>88.384731910755363</v>
      </c>
      <c r="J65" s="150">
        <f>CHOOSE(MATCH($E$2,{"Management";"Conservative"},0),J174,#REF!)</f>
        <v>100</v>
      </c>
      <c r="K65" s="150">
        <f>CHOOSE(MATCH($E$2,{"Management";"Conservative"},0),K174,#REF!)</f>
        <v>95</v>
      </c>
      <c r="L65" s="150">
        <f>CHOOSE(MATCH($E$2,{"Management";"Conservative"},0),L174,#REF!)</f>
        <v>88.384731910755363</v>
      </c>
      <c r="M65" s="150">
        <f>CHOOSE(MATCH($E$2,{"Management";"Conservative"},0),M174,#REF!)</f>
        <v>88.384731910755363</v>
      </c>
      <c r="N65" s="150">
        <f>CHOOSE(MATCH($E$2,{"Management";"Conservative"},0),N174,#REF!)</f>
        <v>88.384731910755363</v>
      </c>
      <c r="O65" s="150">
        <f>CHOOSE(MATCH($E$2,{"Management";"Conservative"},0),O174,#REF!)</f>
        <v>88.384731910755363</v>
      </c>
      <c r="P65" s="150">
        <f>CHOOSE(MATCH($E$2,{"Management";"Conservative"},0),P174,#REF!)</f>
        <v>88.384731910755363</v>
      </c>
      <c r="Q65" s="150">
        <f>CHOOSE(MATCH($E$2,{"Management";"Conservative"},0),Q174,#REF!)</f>
        <v>88.384731910755363</v>
      </c>
      <c r="R65" s="150">
        <f>CHOOSE(MATCH($E$2,{"Management";"Conservative"},0),R174,#REF!)</f>
        <v>88.384731910755363</v>
      </c>
      <c r="S65" s="150">
        <f>CHOOSE(MATCH($E$2,{"Management";"Conservative"},0),S174,#REF!)</f>
        <v>88.384731910755363</v>
      </c>
    </row>
    <row r="66" spans="2:19" outlineLevel="1">
      <c r="E66" s="150"/>
      <c r="F66" s="150"/>
      <c r="G66" s="150"/>
      <c r="H66" s="150"/>
      <c r="I66" s="150"/>
      <c r="J66" s="151"/>
      <c r="K66" s="151"/>
      <c r="L66" s="151"/>
      <c r="M66" s="151"/>
      <c r="N66" s="151"/>
      <c r="O66" s="151"/>
      <c r="P66" s="151"/>
      <c r="Q66" s="151"/>
      <c r="R66" s="151"/>
      <c r="S66" s="151"/>
    </row>
    <row r="67" spans="2:19" outlineLevel="1">
      <c r="C67" t="s">
        <v>45</v>
      </c>
      <c r="E67" s="150">
        <f>CHOOSE(MATCH($E$2,{"Management";"Conservative"},0),E176,#REF!)</f>
        <v>120.7</v>
      </c>
      <c r="F67" s="150">
        <f>CHOOSE(MATCH($E$2,{"Management";"Conservative"},0),F176,#REF!)</f>
        <v>190.4</v>
      </c>
      <c r="G67" s="150">
        <f>CHOOSE(MATCH($E$2,{"Management";"Conservative"},0),G176,#REF!)</f>
        <v>190.1</v>
      </c>
      <c r="H67" s="150">
        <f>CHOOSE(MATCH($E$2,{"Management";"Conservative"},0),H176,#REF!)</f>
        <v>243.8</v>
      </c>
      <c r="I67" s="150">
        <f>CHOOSE(MATCH($E$2,{"Management";"Conservative"},0),I176,#REF!)</f>
        <v>273.5</v>
      </c>
      <c r="J67" s="150">
        <f>CHOOSE(MATCH($E$2,{"Management";"Conservative"},0),J176,#REF!)</f>
        <v>248.80163210679893</v>
      </c>
      <c r="K67" s="150">
        <f>CHOOSE(MATCH($E$2,{"Management";"Conservative"},0),K176,#REF!)</f>
        <v>261.91260426545756</v>
      </c>
      <c r="L67" s="150">
        <f>CHOOSE(MATCH($E$2,{"Management";"Conservative"},0),L176,#REF!)</f>
        <v>279.39070518091637</v>
      </c>
      <c r="M67" s="150">
        <f>CHOOSE(MATCH($E$2,{"Management";"Conservative"},0),M176,#REF!)</f>
        <v>296.42926351533578</v>
      </c>
      <c r="N67" s="150">
        <f>CHOOSE(MATCH($E$2,{"Management";"Conservative"},0),N176,#REF!)</f>
        <v>312.76955597796558</v>
      </c>
      <c r="O67" s="150">
        <f>CHOOSE(MATCH($E$2,{"Management";"Conservative"},0),O176,#REF!)</f>
        <v>328.31962620661761</v>
      </c>
      <c r="P67" s="150">
        <f>CHOOSE(MATCH($E$2,{"Management";"Conservative"},0),P176,#REF!)</f>
        <v>342.86662825042902</v>
      </c>
      <c r="Q67" s="150">
        <f>CHOOSE(MATCH($E$2,{"Management";"Conservative"},0),Q176,#REF!)</f>
        <v>356.20231348515654</v>
      </c>
      <c r="R67" s="150">
        <f>CHOOSE(MATCH($E$2,{"Management";"Conservative"},0),R176,#REF!)</f>
        <v>368.12785061300133</v>
      </c>
      <c r="S67" s="150">
        <f>CHOOSE(MATCH($E$2,{"Management";"Conservative"},0),S176,#REF!)</f>
        <v>378.45865546028654</v>
      </c>
    </row>
    <row r="68" spans="2:19" outlineLevel="1">
      <c r="C68" s="7" t="s">
        <v>112</v>
      </c>
      <c r="D68" s="7"/>
      <c r="E68" s="113">
        <f>CHOOSE(MATCH($E$2,{"Management";"Conservative"},0),E177,#REF!)</f>
        <v>0</v>
      </c>
      <c r="F68" s="113">
        <f>CHOOSE(MATCH($E$2,{"Management";"Conservative"},0),F177,#REF!)</f>
        <v>1.6812035926202132E-2</v>
      </c>
      <c r="G68" s="113">
        <f>CHOOSE(MATCH($E$2,{"Management";"Conservative"},0),G177,#REF!)</f>
        <v>1.8133208791627744E-2</v>
      </c>
      <c r="H68" s="113">
        <f>CHOOSE(MATCH($E$2,{"Management";"Conservative"},0),H177,#REF!)</f>
        <v>1.9304005837025962E-2</v>
      </c>
      <c r="I68" s="113">
        <f>CHOOSE(MATCH($E$2,{"Management";"Conservative"},0),I177,#REF!)</f>
        <v>2.1988251396315599E-2</v>
      </c>
      <c r="J68" s="21">
        <f>CHOOSE(MATCH($E$2,{"Management";"Conservative"},0),J177,#REF!)</f>
        <v>2.1988251396315599E-2</v>
      </c>
      <c r="K68" s="21">
        <f>CHOOSE(MATCH($E$2,{"Management";"Conservative"},0),K177,#REF!)</f>
        <v>2.1988251396315599E-2</v>
      </c>
      <c r="L68" s="21">
        <f>CHOOSE(MATCH($E$2,{"Management";"Conservative"},0),L177,#REF!)</f>
        <v>2.1988251396315599E-2</v>
      </c>
      <c r="M68" s="21">
        <f>CHOOSE(MATCH($E$2,{"Management";"Conservative"},0),M177,#REF!)</f>
        <v>2.1988251396315599E-2</v>
      </c>
      <c r="N68" s="21">
        <f>CHOOSE(MATCH($E$2,{"Management";"Conservative"},0),N177,#REF!)</f>
        <v>2.1988251396315599E-2</v>
      </c>
      <c r="O68" s="21">
        <f>CHOOSE(MATCH($E$2,{"Management";"Conservative"},0),O177,#REF!)</f>
        <v>2.1988251396315599E-2</v>
      </c>
      <c r="P68" s="21">
        <f>CHOOSE(MATCH($E$2,{"Management";"Conservative"},0),P177,#REF!)</f>
        <v>2.1988251396315599E-2</v>
      </c>
      <c r="Q68" s="21">
        <f>CHOOSE(MATCH($E$2,{"Management";"Conservative"},0),Q177,#REF!)</f>
        <v>2.1988251396315599E-2</v>
      </c>
      <c r="R68" s="21">
        <f>CHOOSE(MATCH($E$2,{"Management";"Conservative"},0),R177,#REF!)</f>
        <v>2.1988251396315599E-2</v>
      </c>
      <c r="S68" s="21">
        <f>CHOOSE(MATCH($E$2,{"Management";"Conservative"},0),S177,#REF!)</f>
        <v>2.1988251396315599E-2</v>
      </c>
    </row>
    <row r="69" spans="2:19" outlineLevel="1">
      <c r="E69" s="150"/>
      <c r="F69" s="150"/>
      <c r="G69" s="150"/>
      <c r="H69" s="150"/>
      <c r="I69" s="150"/>
      <c r="J69" s="151"/>
      <c r="K69" s="151"/>
      <c r="L69" s="151"/>
      <c r="M69" s="151"/>
      <c r="N69" s="151"/>
      <c r="O69" s="151"/>
      <c r="P69" s="151"/>
      <c r="Q69" s="151"/>
      <c r="R69" s="151"/>
      <c r="S69" s="151"/>
    </row>
    <row r="70" spans="2:19" outlineLevel="1">
      <c r="C70" t="s">
        <v>163</v>
      </c>
      <c r="E70" s="150">
        <f>CHOOSE(MATCH($E$2,{"Management";"Conservative"},0),E179,#REF!)</f>
        <v>846.3</v>
      </c>
      <c r="F70" s="150">
        <f>CHOOSE(MATCH($E$2,{"Management";"Conservative"},0),F179,#REF!)</f>
        <v>1033.2</v>
      </c>
      <c r="G70" s="150">
        <f>CHOOSE(MATCH($E$2,{"Management";"Conservative"},0),G179,#REF!)</f>
        <v>1016.6</v>
      </c>
      <c r="H70" s="150">
        <f>CHOOSE(MATCH($E$2,{"Management";"Conservative"},0),H179,#REF!)</f>
        <v>1108.2</v>
      </c>
      <c r="I70" s="150">
        <f>CHOOSE(MATCH($E$2,{"Management";"Conservative"},0),I179,#REF!)</f>
        <v>1212.3</v>
      </c>
      <c r="J70" s="150">
        <f>CHOOSE(MATCH($E$2,{"Management";"Conservative"},0),J179,#REF!)</f>
        <v>1116.020488160364</v>
      </c>
      <c r="K70" s="150">
        <f>CHOOSE(MATCH($E$2,{"Management";"Conservative"},0),K179,#REF!)</f>
        <v>1163.0850938339033</v>
      </c>
      <c r="L70" s="150">
        <f>CHOOSE(MATCH($E$2,{"Management";"Conservative"},0),L179,#REF!)</f>
        <v>1240.7007500193199</v>
      </c>
      <c r="M70" s="150">
        <f>CHOOSE(MATCH($E$2,{"Management";"Conservative"},0),M179,#REF!)</f>
        <v>1316.3645130320276</v>
      </c>
      <c r="N70" s="150">
        <f>CHOOSE(MATCH($E$2,{"Management";"Conservative"},0),N179,#REF!)</f>
        <v>1388.9274606819572</v>
      </c>
      <c r="O70" s="150">
        <f>CHOOSE(MATCH($E$2,{"Management";"Conservative"},0),O179,#REF!)</f>
        <v>1457.981238913587</v>
      </c>
      <c r="P70" s="150">
        <f>CHOOSE(MATCH($E$2,{"Management";"Conservative"},0),P179,#REF!)</f>
        <v>1522.5806547552927</v>
      </c>
      <c r="Q70" s="150">
        <f>CHOOSE(MATCH($E$2,{"Management";"Conservative"},0),Q179,#REF!)</f>
        <v>1581.800930755649</v>
      </c>
      <c r="R70" s="150">
        <f>CHOOSE(MATCH($E$2,{"Management";"Conservative"},0),R179,#REF!)</f>
        <v>1634.7591093368558</v>
      </c>
      <c r="S70" s="150">
        <f>CHOOSE(MATCH($E$2,{"Management";"Conservative"},0),S179,#REF!)</f>
        <v>1680.6355006578563</v>
      </c>
    </row>
    <row r="71" spans="2:19" outlineLevel="1">
      <c r="C71" t="s">
        <v>164</v>
      </c>
      <c r="E71" s="150">
        <f>CHOOSE(MATCH($E$2,{"Management";"Conservative"},0),E180,#REF!)</f>
        <v>0</v>
      </c>
      <c r="F71" s="150">
        <f>CHOOSE(MATCH($E$2,{"Management";"Conservative"},0),F180,#REF!)</f>
        <v>76.890551445864162</v>
      </c>
      <c r="G71" s="150">
        <f>CHOOSE(MATCH($E$2,{"Management";"Conservative"},0),G180,#REF!)</f>
        <v>70.423286897590373</v>
      </c>
      <c r="H71" s="150">
        <f>CHOOSE(MATCH($E$2,{"Management";"Conservative"},0),H180,#REF!)</f>
        <v>74.374928075491965</v>
      </c>
      <c r="I71" s="150">
        <f>CHOOSE(MATCH($E$2,{"Management";"Conservative"},0),I180,#REF!)</f>
        <v>79.200173926053367</v>
      </c>
      <c r="J71" s="150">
        <f>CHOOSE(MATCH($E$2,{"Management";"Conservative"},0),J180,#REF!)</f>
        <v>80</v>
      </c>
      <c r="K71" s="150">
        <f>CHOOSE(MATCH($E$2,{"Management";"Conservative"},0),K180,#REF!)</f>
        <v>79.200173926053367</v>
      </c>
      <c r="L71" s="150">
        <f>CHOOSE(MATCH($E$2,{"Management";"Conservative"},0),L180,#REF!)</f>
        <v>79.200173926053367</v>
      </c>
      <c r="M71" s="150">
        <f>CHOOSE(MATCH($E$2,{"Management";"Conservative"},0),M180,#REF!)</f>
        <v>79.200173926053367</v>
      </c>
      <c r="N71" s="150">
        <f>CHOOSE(MATCH($E$2,{"Management";"Conservative"},0),N180,#REF!)</f>
        <v>79.200173926053367</v>
      </c>
      <c r="O71" s="150">
        <f>CHOOSE(MATCH($E$2,{"Management";"Conservative"},0),O180,#REF!)</f>
        <v>79.200173926053367</v>
      </c>
      <c r="P71" s="150">
        <f>CHOOSE(MATCH($E$2,{"Management";"Conservative"},0),P180,#REF!)</f>
        <v>79.200173926053367</v>
      </c>
      <c r="Q71" s="150">
        <f>CHOOSE(MATCH($E$2,{"Management";"Conservative"},0),Q180,#REF!)</f>
        <v>79.200173926053367</v>
      </c>
      <c r="R71" s="150">
        <f>CHOOSE(MATCH($E$2,{"Management";"Conservative"},0),R180,#REF!)</f>
        <v>79.200173926053367</v>
      </c>
      <c r="S71" s="150">
        <f>CHOOSE(MATCH($E$2,{"Management";"Conservative"},0),S180,#REF!)</f>
        <v>79.200173926053367</v>
      </c>
    </row>
    <row r="72" spans="2:19" outlineLevel="1">
      <c r="E72" s="150"/>
      <c r="F72" s="150"/>
      <c r="G72" s="150"/>
      <c r="H72" s="150"/>
      <c r="I72" s="150"/>
      <c r="J72" s="151"/>
      <c r="K72" s="151"/>
      <c r="L72" s="151"/>
      <c r="M72" s="151"/>
      <c r="N72" s="151"/>
      <c r="O72" s="151"/>
      <c r="P72" s="151"/>
      <c r="Q72" s="151"/>
      <c r="R72" s="151"/>
      <c r="S72" s="151"/>
    </row>
    <row r="73" spans="2:19" outlineLevel="1">
      <c r="C73" t="s">
        <v>57</v>
      </c>
      <c r="E73" s="150">
        <f>CHOOSE(MATCH($E$2,{"Management";"Conservative"},0),E182,E225)</f>
        <v>454</v>
      </c>
      <c r="F73" s="150">
        <f>CHOOSE(MATCH($E$2,{"Management";"Conservative"},0),F182,F225)</f>
        <v>519.9</v>
      </c>
      <c r="G73" s="150">
        <f>CHOOSE(MATCH($E$2,{"Management";"Conservative"},0),G182,G225)</f>
        <v>489</v>
      </c>
      <c r="H73" s="150">
        <f>CHOOSE(MATCH($E$2,{"Management";"Conservative"},0),H182,H225)</f>
        <v>678.2</v>
      </c>
      <c r="I73" s="150">
        <f>CHOOSE(MATCH($E$2,{"Management";"Conservative"},0),I182,I225)</f>
        <v>623.9</v>
      </c>
      <c r="J73" s="150">
        <f>CHOOSE(MATCH($E$2,{"Management";"Conservative"},0),J182,J225)</f>
        <v>626.26059378747902</v>
      </c>
      <c r="K73" s="150">
        <f>CHOOSE(MATCH($E$2,{"Management";"Conservative"},0),K182,K225)</f>
        <v>659.26232749671817</v>
      </c>
      <c r="L73" s="150">
        <f>CHOOSE(MATCH($E$2,{"Management";"Conservative"},0),L182,L225)</f>
        <v>703.25659620350132</v>
      </c>
      <c r="M73" s="150">
        <f>CHOOSE(MATCH($E$2,{"Management";"Conservative"},0),M182,M225)</f>
        <v>746.14448873635945</v>
      </c>
      <c r="N73" s="150">
        <f>CHOOSE(MATCH($E$2,{"Management";"Conservative"},0),N182,N225)</f>
        <v>787.27477061455431</v>
      </c>
      <c r="O73" s="150">
        <f>CHOOSE(MATCH($E$2,{"Management";"Conservative"},0),O182,O225)</f>
        <v>826.41597773755416</v>
      </c>
      <c r="P73" s="150">
        <f>CHOOSE(MATCH($E$2,{"Management";"Conservative"},0),P182,P225)</f>
        <v>863.03235384667232</v>
      </c>
      <c r="Q73" s="150">
        <f>CHOOSE(MATCH($E$2,{"Management";"Conservative"},0),Q182,Q225)</f>
        <v>896.59971465111596</v>
      </c>
      <c r="R73" s="150">
        <f>CHOOSE(MATCH($E$2,{"Management";"Conservative"},0),R182,R225)</f>
        <v>926.61758028839938</v>
      </c>
      <c r="S73" s="150">
        <f>CHOOSE(MATCH($E$2,{"Management";"Conservative"},0),S182,S225)</f>
        <v>952.62133244701158</v>
      </c>
    </row>
    <row r="74" spans="2:19" outlineLevel="1">
      <c r="C74" s="7" t="s">
        <v>112</v>
      </c>
      <c r="D74" s="7"/>
      <c r="E74" s="113">
        <f>CHOOSE(MATCH($E$2,{"Management";"Conservative"},0),E183,E226)</f>
        <v>0</v>
      </c>
      <c r="F74" s="113">
        <f>CHOOSE(MATCH($E$2,{"Management";"Conservative"},0),F183,F226)</f>
        <v>5.2630156825870314E-2</v>
      </c>
      <c r="G74" s="113">
        <f>CHOOSE(MATCH($E$2,{"Management";"Conservative"},0),G183,G226)</f>
        <v>4.8080405650126758E-2</v>
      </c>
      <c r="H74" s="113">
        <f>CHOOSE(MATCH($E$2,{"Management";"Conservative"},0),H183,H226)</f>
        <v>5.1928176107344334E-2</v>
      </c>
      <c r="I74" s="113">
        <f>CHOOSE(MATCH($E$2,{"Management";"Conservative"},0),I183,I226)</f>
        <v>5.5346804838860508E-2</v>
      </c>
      <c r="J74" s="21">
        <f>CHOOSE(MATCH($E$2,{"Management";"Conservative"},0),J183,J226)</f>
        <v>5.5346804838860508E-2</v>
      </c>
      <c r="K74" s="21">
        <f>CHOOSE(MATCH($E$2,{"Management";"Conservative"},0),K183,K226)</f>
        <v>5.5346804838860508E-2</v>
      </c>
      <c r="L74" s="21">
        <f>CHOOSE(MATCH($E$2,{"Management";"Conservative"},0),L183,L226)</f>
        <v>5.5346804838860508E-2</v>
      </c>
      <c r="M74" s="21">
        <f>CHOOSE(MATCH($E$2,{"Management";"Conservative"},0),M183,M226)</f>
        <v>5.5346804838860508E-2</v>
      </c>
      <c r="N74" s="21">
        <f>CHOOSE(MATCH($E$2,{"Management";"Conservative"},0),N183,N226)</f>
        <v>5.5346804838860508E-2</v>
      </c>
      <c r="O74" s="21">
        <f>CHOOSE(MATCH($E$2,{"Management";"Conservative"},0),O183,O226)</f>
        <v>5.5346804838860508E-2</v>
      </c>
      <c r="P74" s="21">
        <f>CHOOSE(MATCH($E$2,{"Management";"Conservative"},0),P183,P226)</f>
        <v>5.5346804838860508E-2</v>
      </c>
      <c r="Q74" s="21">
        <f>CHOOSE(MATCH($E$2,{"Management";"Conservative"},0),Q183,Q226)</f>
        <v>5.5346804838860508E-2</v>
      </c>
      <c r="R74" s="21">
        <f>CHOOSE(MATCH($E$2,{"Management";"Conservative"},0),R183,R226)</f>
        <v>5.5346804838860508E-2</v>
      </c>
      <c r="S74" s="21">
        <f>CHOOSE(MATCH($E$2,{"Management";"Conservative"},0),S183,S226)</f>
        <v>5.5346804838860508E-2</v>
      </c>
    </row>
    <row r="75" spans="2:19" outlineLevel="1">
      <c r="C75" s="7"/>
      <c r="E75" s="150"/>
      <c r="F75" s="150"/>
      <c r="G75" s="150"/>
      <c r="H75" s="150"/>
      <c r="I75" s="150"/>
      <c r="J75" s="151"/>
      <c r="K75" s="151"/>
      <c r="L75" s="151"/>
      <c r="M75" s="151"/>
      <c r="N75" s="151"/>
      <c r="O75" s="151"/>
      <c r="P75" s="151"/>
      <c r="Q75" s="151"/>
      <c r="R75" s="151"/>
      <c r="S75" s="151"/>
    </row>
    <row r="76" spans="2:19" outlineLevel="1">
      <c r="C76" t="s">
        <v>60</v>
      </c>
      <c r="E76" s="150">
        <f>CHOOSE(MATCH($E$2,{"Management";"Conservative"},0),E185,E228)</f>
        <v>26.8</v>
      </c>
      <c r="F76" s="150">
        <f>CHOOSE(MATCH($E$2,{"Management";"Conservative"},0),F185,F228)</f>
        <v>26</v>
      </c>
      <c r="G76" s="150">
        <f>CHOOSE(MATCH($E$2,{"Management";"Conservative"},0),G185,G228)</f>
        <v>26.9</v>
      </c>
      <c r="H76" s="150">
        <f>CHOOSE(MATCH($E$2,{"Management";"Conservative"},0),H185,H228)</f>
        <v>46.3</v>
      </c>
      <c r="I76" s="150">
        <f>CHOOSE(MATCH($E$2,{"Management";"Conservative"},0),I185,I228)</f>
        <v>44.1</v>
      </c>
      <c r="J76" s="150">
        <f>CHOOSE(MATCH($E$2,{"Management";"Conservative"},0),J185,J228)</f>
        <v>43.4789629662761</v>
      </c>
      <c r="K76" s="150">
        <f>CHOOSE(MATCH($E$2,{"Management";"Conservative"},0),K185,K228)</f>
        <v>45.770151605639604</v>
      </c>
      <c r="L76" s="150">
        <f>CHOOSE(MATCH($E$2,{"Management";"Conservative"},0),L185,L228)</f>
        <v>48.824511402193785</v>
      </c>
      <c r="M76" s="150">
        <f>CHOOSE(MATCH($E$2,{"Management";"Conservative"},0),M185,M228)</f>
        <v>51.802059582034332</v>
      </c>
      <c r="N76" s="150">
        <f>CHOOSE(MATCH($E$2,{"Management";"Conservative"},0),N185,N228)</f>
        <v>54.657583337344072</v>
      </c>
      <c r="O76" s="150">
        <f>CHOOSE(MATCH($E$2,{"Management";"Conservative"},0),O185,O228)</f>
        <v>57.375012969414719</v>
      </c>
      <c r="P76" s="150">
        <f>CHOOSE(MATCH($E$2,{"Management";"Conservative"},0),P185,P228)</f>
        <v>59.917152897426611</v>
      </c>
      <c r="Q76" s="150">
        <f>CHOOSE(MATCH($E$2,{"Management";"Conservative"},0),Q185,Q228)</f>
        <v>62.247610939605941</v>
      </c>
      <c r="R76" s="150">
        <f>CHOOSE(MATCH($E$2,{"Management";"Conservative"},0),R185,R228)</f>
        <v>64.331640625198773</v>
      </c>
      <c r="S76" s="150">
        <f>CHOOSE(MATCH($E$2,{"Management";"Conservative"},0),S185,S228)</f>
        <v>66.136985218654374</v>
      </c>
    </row>
    <row r="77" spans="2:19" outlineLevel="1">
      <c r="C77" s="7" t="s">
        <v>112</v>
      </c>
      <c r="D77" s="7"/>
      <c r="E77" s="113">
        <f>CHOOSE(MATCH($E$2,{"Management";"Conservative"},0),E186,E229)</f>
        <v>0</v>
      </c>
      <c r="F77" s="113">
        <f>CHOOSE(MATCH($E$2,{"Management";"Conservative"},0),F186,F229)</f>
        <v>2.853344573781654E-3</v>
      </c>
      <c r="G77" s="113">
        <f>CHOOSE(MATCH($E$2,{"Management";"Conservative"},0),G186,G229)</f>
        <v>2.5210164128176287E-3</v>
      </c>
      <c r="H77" s="113">
        <f>CHOOSE(MATCH($E$2,{"Management";"Conservative"},0),H186,H229)</f>
        <v>3.2566333885003466E-3</v>
      </c>
      <c r="I77" s="113">
        <f>CHOOSE(MATCH($E$2,{"Management";"Conservative"},0),I186,I229)</f>
        <v>3.842524504594878E-3</v>
      </c>
      <c r="J77" s="21">
        <f>CHOOSE(MATCH($E$2,{"Management";"Conservative"},0),J186,J229)</f>
        <v>3.842524504594878E-3</v>
      </c>
      <c r="K77" s="21">
        <f>CHOOSE(MATCH($E$2,{"Management";"Conservative"},0),K186,K229)</f>
        <v>3.842524504594878E-3</v>
      </c>
      <c r="L77" s="21">
        <f>CHOOSE(MATCH($E$2,{"Management";"Conservative"},0),L186,L229)</f>
        <v>3.842524504594878E-3</v>
      </c>
      <c r="M77" s="21">
        <f>CHOOSE(MATCH($E$2,{"Management";"Conservative"},0),M186,M229)</f>
        <v>3.842524504594878E-3</v>
      </c>
      <c r="N77" s="21">
        <f>CHOOSE(MATCH($E$2,{"Management";"Conservative"},0),N186,N229)</f>
        <v>3.842524504594878E-3</v>
      </c>
      <c r="O77" s="21">
        <f>CHOOSE(MATCH($E$2,{"Management";"Conservative"},0),O186,O229)</f>
        <v>3.842524504594878E-3</v>
      </c>
      <c r="P77" s="21">
        <f>CHOOSE(MATCH($E$2,{"Management";"Conservative"},0),P186,P229)</f>
        <v>3.842524504594878E-3</v>
      </c>
      <c r="Q77" s="21">
        <f>CHOOSE(MATCH($E$2,{"Management";"Conservative"},0),Q186,Q229)</f>
        <v>3.842524504594878E-3</v>
      </c>
      <c r="R77" s="21">
        <f>CHOOSE(MATCH($E$2,{"Management";"Conservative"},0),R186,R229)</f>
        <v>3.842524504594878E-3</v>
      </c>
      <c r="S77" s="21">
        <f>CHOOSE(MATCH($E$2,{"Management";"Conservative"},0),S186,S229)</f>
        <v>3.842524504594878E-3</v>
      </c>
    </row>
    <row r="78" spans="2:19" outlineLevel="1">
      <c r="C78" s="56"/>
      <c r="E78" s="2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outlineLevel="1">
      <c r="B79" t="s">
        <v>0</v>
      </c>
      <c r="C79" s="39" t="s">
        <v>264</v>
      </c>
      <c r="D79" s="54"/>
      <c r="E79" s="78"/>
      <c r="F79" s="78"/>
      <c r="G79" s="78"/>
      <c r="H79" s="78"/>
      <c r="I79" s="78"/>
      <c r="J79" s="64"/>
      <c r="K79" s="64"/>
      <c r="L79" s="64"/>
      <c r="M79" s="64"/>
      <c r="N79" s="64"/>
      <c r="O79" s="64"/>
      <c r="P79" s="64"/>
      <c r="Q79" s="64"/>
      <c r="R79" s="64"/>
      <c r="S79" s="64"/>
    </row>
    <row r="80" spans="2:19" outlineLevel="1">
      <c r="C80" t="s">
        <v>84</v>
      </c>
      <c r="E80" s="76">
        <f>CHOOSE(MATCH($E$2,{"Management";"Conservative"},0),E189,#REF!)</f>
        <v>326</v>
      </c>
      <c r="F80" s="76">
        <f>CHOOSE(MATCH($E$2,{"Management";"Conservative"},0),F189,#REF!)</f>
        <v>354.5</v>
      </c>
      <c r="G80" s="76">
        <f>CHOOSE(MATCH($E$2,{"Management";"Conservative"},0),G189,#REF!)</f>
        <v>445.8</v>
      </c>
      <c r="H80" s="76">
        <f>CHOOSE(MATCH($E$2,{"Management";"Conservative"},0),H189,#REF!)</f>
        <v>492.3</v>
      </c>
      <c r="I80" s="76">
        <f>CHOOSE(MATCH($E$2,{"Management";"Conservative"},0),I189,#REF!)</f>
        <v>264.7</v>
      </c>
      <c r="J80" s="76">
        <f>CHOOSE(MATCH($E$2,{"Management";"Conservative"},0),J189,#REF!)</f>
        <v>524.71999413794913</v>
      </c>
      <c r="K80" s="76">
        <f>CHOOSE(MATCH($E$2,{"Management";"Conservative"},0),K189,#REF!)</f>
        <v>634.98679970537228</v>
      </c>
      <c r="L80" s="76">
        <f>CHOOSE(MATCH($E$2,{"Management";"Conservative"},0),L189,#REF!)</f>
        <v>756.19139053631829</v>
      </c>
      <c r="M80" s="76">
        <f>CHOOSE(MATCH($E$2,{"Management";"Conservative"},0),M189,#REF!)</f>
        <v>880.60311527296619</v>
      </c>
      <c r="N80" s="76">
        <f>CHOOSE(MATCH($E$2,{"Management";"Conservative"},0),N189,#REF!)</f>
        <v>1010.9724936184747</v>
      </c>
      <c r="O80" s="76">
        <f>CHOOSE(MATCH($E$2,{"Management";"Conservative"},0),O189,#REF!)</f>
        <v>1108.7030850100948</v>
      </c>
      <c r="P80" s="76">
        <f>CHOOSE(MATCH($E$2,{"Management";"Conservative"},0),P189,#REF!)</f>
        <v>1217.5486607005655</v>
      </c>
      <c r="Q80" s="76">
        <f>CHOOSE(MATCH($E$2,{"Management";"Conservative"},0),Q189,#REF!)</f>
        <v>1327.3571580117043</v>
      </c>
      <c r="R80" s="76">
        <f>CHOOSE(MATCH($E$2,{"Management";"Conservative"},0),R189,#REF!)</f>
        <v>1459.2809394861054</v>
      </c>
      <c r="S80" s="76">
        <f>CHOOSE(MATCH($E$2,{"Management";"Conservative"},0),S189,#REF!)</f>
        <v>1721.4495904113212</v>
      </c>
    </row>
    <row r="81" spans="2:19" outlineLevel="1">
      <c r="C81" t="s">
        <v>265</v>
      </c>
      <c r="E81" s="20">
        <f>CHOOSE(MATCH($E$2,{"Management";"Conservative"},0),E190,#REF!)</f>
        <v>0.39505574406204519</v>
      </c>
      <c r="F81" s="20">
        <f>CHOOSE(MATCH($E$2,{"Management";"Conservative"},0),F190,#REF!)</f>
        <v>0.3446767136606706</v>
      </c>
      <c r="G81" s="20">
        <f>CHOOSE(MATCH($E$2,{"Management";"Conservative"},0),G190,#REF!)</f>
        <v>0.38348387096774156</v>
      </c>
      <c r="H81" s="20">
        <f>CHOOSE(MATCH($E$2,{"Management";"Conservative"},0),H190,#REF!)</f>
        <v>0.46329757199322402</v>
      </c>
      <c r="I81" s="20">
        <f>CHOOSE(MATCH($E$2,{"Management";"Conservative"},0),I190,#REF!)</f>
        <v>0.21216736133376113</v>
      </c>
      <c r="J81" s="20">
        <f>CHOOSE(MATCH($E$2,{"Management";"Conservative"},0),J190,#REF!)</f>
        <v>0.46</v>
      </c>
      <c r="K81" s="20">
        <f>CHOOSE(MATCH($E$2,{"Management";"Conservative"},0),K190,#REF!)</f>
        <v>0.48500000000000004</v>
      </c>
      <c r="L81" s="20">
        <f>CHOOSE(MATCH($E$2,{"Management";"Conservative"},0),L190,#REF!)</f>
        <v>0.51</v>
      </c>
      <c r="M81" s="20">
        <f>CHOOSE(MATCH($E$2,{"Management";"Conservative"},0),M190,#REF!)</f>
        <v>0.53500000000000003</v>
      </c>
      <c r="N81" s="20">
        <f>CHOOSE(MATCH($E$2,{"Management";"Conservative"},0),N190,#REF!)</f>
        <v>0.56000000000000005</v>
      </c>
      <c r="O81" s="20">
        <f>CHOOSE(MATCH($E$2,{"Management";"Conservative"},0),O190,#REF!)</f>
        <v>0.58500000000000008</v>
      </c>
      <c r="P81" s="20">
        <f>CHOOSE(MATCH($E$2,{"Management";"Conservative"},0),P190,#REF!)</f>
        <v>0.6100000000000001</v>
      </c>
      <c r="Q81" s="20">
        <f>CHOOSE(MATCH($E$2,{"Management";"Conservative"},0),Q190,#REF!)</f>
        <v>0.63500000000000012</v>
      </c>
      <c r="R81" s="20">
        <f>CHOOSE(MATCH($E$2,{"Management";"Conservative"},0),R190,#REF!)</f>
        <v>0.66000000000000014</v>
      </c>
      <c r="S81" s="20">
        <f>CHOOSE(MATCH($E$2,{"Management";"Conservative"},0),S190,#REF!)</f>
        <v>0.68500000000000016</v>
      </c>
    </row>
    <row r="82" spans="2:19" outlineLevel="1">
      <c r="C82" t="s">
        <v>85</v>
      </c>
      <c r="E82" s="76">
        <f>CHOOSE(MATCH($E$2,{"Management";"Conservative"},0),E191,#REF!)</f>
        <v>1</v>
      </c>
      <c r="F82" s="76">
        <f>CHOOSE(MATCH($E$2,{"Management";"Conservative"},0),F191,#REF!)</f>
        <v>0.6</v>
      </c>
      <c r="G82" s="76">
        <f>CHOOSE(MATCH($E$2,{"Management";"Conservative"},0),G191,#REF!)</f>
        <v>0.2</v>
      </c>
      <c r="H82" s="76">
        <f>CHOOSE(MATCH($E$2,{"Management";"Conservative"},0),H191,#REF!)</f>
        <v>1</v>
      </c>
      <c r="I82" s="76">
        <f>CHOOSE(MATCH($E$2,{"Management";"Conservative"},0),I191,#REF!)</f>
        <v>1.6</v>
      </c>
      <c r="J82" s="76">
        <f>CHOOSE(MATCH($E$2,{"Management";"Conservative"},0),J191,#REF!)</f>
        <v>0.95608420630611168</v>
      </c>
      <c r="K82" s="76">
        <f>CHOOSE(MATCH($E$2,{"Management";"Conservative"},0),K191,#REF!)</f>
        <v>1.0973604943118898</v>
      </c>
      <c r="L82" s="76">
        <f>CHOOSE(MATCH($E$2,{"Management";"Conservative"},0),L191,#REF!)</f>
        <v>1.2427618562436888</v>
      </c>
      <c r="M82" s="76">
        <f>CHOOSE(MATCH($E$2,{"Management";"Conservative"},0),M191,#REF!)</f>
        <v>1.3795987690932545</v>
      </c>
      <c r="N82" s="76">
        <f>CHOOSE(MATCH($E$2,{"Management";"Conservative"},0),N191,#REF!)</f>
        <v>1.5131349940381991</v>
      </c>
      <c r="O82" s="76">
        <f>CHOOSE(MATCH($E$2,{"Management";"Conservative"},0),O191,#REF!)</f>
        <v>1.5884946358545986</v>
      </c>
      <c r="P82" s="76">
        <f>CHOOSE(MATCH($E$2,{"Management";"Conservative"},0),P191,#REF!)</f>
        <v>1.6729495907216225</v>
      </c>
      <c r="Q82" s="76">
        <f>CHOOSE(MATCH($E$2,{"Management";"Conservative"},0),Q191,#REF!)</f>
        <v>1.7520255433623924</v>
      </c>
      <c r="R82" s="76">
        <f>CHOOSE(MATCH($E$2,{"Management";"Conservative"},0),R191,#REF!)</f>
        <v>1.8531959273539986</v>
      </c>
      <c r="S82" s="76">
        <f>CHOOSE(MATCH($E$2,{"Management";"Conservative"},0),S191,#REF!)</f>
        <v>2.106347884715349</v>
      </c>
    </row>
    <row r="83" spans="2:19" outlineLevel="1">
      <c r="C83" t="s">
        <v>266</v>
      </c>
      <c r="E83" s="20">
        <f>CHOOSE(MATCH($E$2,{"Management";"Conservative"},0),E192,#REF!)</f>
        <v>1.2118274357731447E-3</v>
      </c>
      <c r="F83" s="20">
        <f>CHOOSE(MATCH($E$2,{"Management";"Conservative"},0),F192,#REF!)</f>
        <v>5.8337384540593047E-4</v>
      </c>
      <c r="G83" s="20">
        <f>CHOOSE(MATCH($E$2,{"Management";"Conservative"},0),G192,#REF!)</f>
        <v>1.7204301075268803E-4</v>
      </c>
      <c r="H83" s="20">
        <f>CHOOSE(MATCH($E$2,{"Management";"Conservative"},0),H192,#REF!)</f>
        <v>9.4108789760963642E-4</v>
      </c>
      <c r="I83" s="20">
        <f>CHOOSE(MATCH($E$2,{"Management";"Conservative"},0),I192,#REF!)</f>
        <v>1.2824623276691267E-3</v>
      </c>
      <c r="J83" s="20">
        <f>CHOOSE(MATCH($E$2,{"Management";"Conservative"},0),J192,#REF!)</f>
        <v>8.3815890344210529E-4</v>
      </c>
      <c r="K83" s="20">
        <f>CHOOSE(MATCH($E$2,{"Management";"Conservative"},0),K192,#REF!)</f>
        <v>8.3815890344210529E-4</v>
      </c>
      <c r="L83" s="20">
        <f>CHOOSE(MATCH($E$2,{"Management";"Conservative"},0),L192,#REF!)</f>
        <v>8.3815890344210529E-4</v>
      </c>
      <c r="M83" s="20">
        <f>CHOOSE(MATCH($E$2,{"Management";"Conservative"},0),M192,#REF!)</f>
        <v>8.3815890344210529E-4</v>
      </c>
      <c r="N83" s="20">
        <f>CHOOSE(MATCH($E$2,{"Management";"Conservative"},0),N192,#REF!)</f>
        <v>8.3815890344210529E-4</v>
      </c>
      <c r="O83" s="20">
        <f>CHOOSE(MATCH($E$2,{"Management";"Conservative"},0),O192,#REF!)</f>
        <v>8.3815890344210529E-4</v>
      </c>
      <c r="P83" s="20">
        <f>CHOOSE(MATCH($E$2,{"Management";"Conservative"},0),P192,#REF!)</f>
        <v>8.3815890344210529E-4</v>
      </c>
      <c r="Q83" s="20">
        <f>CHOOSE(MATCH($E$2,{"Management";"Conservative"},0),Q192,#REF!)</f>
        <v>8.3815890344210529E-4</v>
      </c>
      <c r="R83" s="20">
        <f>CHOOSE(MATCH($E$2,{"Management";"Conservative"},0),R192,#REF!)</f>
        <v>8.3815890344210529E-4</v>
      </c>
      <c r="S83" s="20">
        <f>CHOOSE(MATCH($E$2,{"Management";"Conservative"},0),S192,#REF!)</f>
        <v>8.3815890344210529E-4</v>
      </c>
    </row>
    <row r="84" spans="2:19" outlineLevel="1"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outlineLevel="1">
      <c r="C85" s="39" t="s">
        <v>86</v>
      </c>
      <c r="D85" s="39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</row>
    <row r="86" spans="2:19" outlineLevel="1">
      <c r="C86" t="s">
        <v>86</v>
      </c>
      <c r="E86" s="76">
        <f>CHOOSE(MATCH($E$2,{"Management";"Conservative"},0),E195,#REF!)</f>
        <v>-300.10000000000002</v>
      </c>
      <c r="F86" s="76">
        <f>CHOOSE(MATCH($E$2,{"Management";"Conservative"},0),F195,#REF!)</f>
        <v>52.5</v>
      </c>
      <c r="G86" s="76">
        <f>CHOOSE(MATCH($E$2,{"Management";"Conservative"},0),G195,#REF!)</f>
        <v>-237.2</v>
      </c>
      <c r="H86" s="76">
        <f>CHOOSE(MATCH($E$2,{"Management";"Conservative"},0),H195,#REF!)</f>
        <v>-806.7</v>
      </c>
      <c r="I86" s="76">
        <f>CHOOSE(MATCH($E$2,{"Management";"Conservative"},0),I195,#REF!)</f>
        <v>320.60000000000002</v>
      </c>
      <c r="J86" s="76">
        <f>CHOOSE(MATCH($E$2,{"Management";"Conservative"},0),J195,#REF!)</f>
        <v>0</v>
      </c>
      <c r="K86" s="76">
        <f>CHOOSE(MATCH($E$2,{"Management";"Conservative"},0),K195,#REF!)</f>
        <v>0</v>
      </c>
      <c r="L86" s="76">
        <f>CHOOSE(MATCH($E$2,{"Management";"Conservative"},0),L195,#REF!)</f>
        <v>0</v>
      </c>
      <c r="M86" s="76">
        <f>CHOOSE(MATCH($E$2,{"Management";"Conservative"},0),M195,#REF!)</f>
        <v>0</v>
      </c>
      <c r="N86" s="76">
        <f>CHOOSE(MATCH($E$2,{"Management";"Conservative"},0),N195,#REF!)</f>
        <v>0</v>
      </c>
      <c r="O86" s="76">
        <f>CHOOSE(MATCH($E$2,{"Management";"Conservative"},0),O195,#REF!)</f>
        <v>0</v>
      </c>
      <c r="P86" s="76">
        <f>CHOOSE(MATCH($E$2,{"Management";"Conservative"},0),P195,#REF!)</f>
        <v>0</v>
      </c>
      <c r="Q86" s="76">
        <f>CHOOSE(MATCH($E$2,{"Management";"Conservative"},0),Q195,#REF!)</f>
        <v>0</v>
      </c>
      <c r="R86" s="76">
        <f>CHOOSE(MATCH($E$2,{"Management";"Conservative"},0),R195,#REF!)</f>
        <v>0</v>
      </c>
      <c r="S86" s="76">
        <f>CHOOSE(MATCH($E$2,{"Management";"Conservative"},0),S195,#REF!)</f>
        <v>0</v>
      </c>
    </row>
    <row r="87" spans="2:19" outlineLevel="1">
      <c r="C87" t="s">
        <v>5</v>
      </c>
      <c r="E87" s="20">
        <f>CHOOSE(MATCH($E$2,{"Management";"Conservative"},0),E196,#REF!)</f>
        <v>-3.8095358992586578E-2</v>
      </c>
      <c r="F87" s="20">
        <f>CHOOSE(MATCH($E$2,{"Management";"Conservative"},0),F196,#REF!)</f>
        <v>5.6742647774066981E-3</v>
      </c>
      <c r="G87" s="20">
        <f>CHOOSE(MATCH($E$2,{"Management";"Conservative"},0),G196,#REF!)</f>
        <v>-2.2608132065041267E-2</v>
      </c>
      <c r="H87" s="20">
        <f>CHOOSE(MATCH($E$2,{"Management";"Conservative"},0),H196,#REF!)</f>
        <v>-7.1779403128503547E-2</v>
      </c>
      <c r="I87" s="20">
        <f>CHOOSE(MATCH($E$2,{"Management";"Conservative"},0),I196,#REF!)</f>
        <v>2.7254720269316766E-2</v>
      </c>
      <c r="J87" s="20">
        <f>CHOOSE(MATCH($E$2,{"Management";"Conservative"},0),J196,#REF!)</f>
        <v>0</v>
      </c>
      <c r="K87" s="20">
        <f>CHOOSE(MATCH($E$2,{"Management";"Conservative"},0),K196,#REF!)</f>
        <v>0</v>
      </c>
      <c r="L87" s="20">
        <f>CHOOSE(MATCH($E$2,{"Management";"Conservative"},0),L196,#REF!)</f>
        <v>0</v>
      </c>
      <c r="M87" s="20">
        <f>CHOOSE(MATCH($E$2,{"Management";"Conservative"},0),M196,#REF!)</f>
        <v>0</v>
      </c>
      <c r="N87" s="20">
        <f>CHOOSE(MATCH($E$2,{"Management";"Conservative"},0),N196,#REF!)</f>
        <v>0</v>
      </c>
      <c r="O87" s="20">
        <f>CHOOSE(MATCH($E$2,{"Management";"Conservative"},0),O196,#REF!)</f>
        <v>0</v>
      </c>
      <c r="P87" s="20">
        <f>CHOOSE(MATCH($E$2,{"Management";"Conservative"},0),P196,#REF!)</f>
        <v>0</v>
      </c>
      <c r="Q87" s="20">
        <f>CHOOSE(MATCH($E$2,{"Management";"Conservative"},0),Q196,#REF!)</f>
        <v>0</v>
      </c>
      <c r="R87" s="20">
        <f>CHOOSE(MATCH($E$2,{"Management";"Conservative"},0),R196,#REF!)</f>
        <v>0</v>
      </c>
      <c r="S87" s="20">
        <f>CHOOSE(MATCH($E$2,{"Management";"Conservative"},0),S196,#REF!)</f>
        <v>0</v>
      </c>
    </row>
    <row r="88" spans="2:19" outlineLevel="1"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 spans="2:19" outlineLevel="1">
      <c r="B89" t="s">
        <v>0</v>
      </c>
      <c r="C89" s="39" t="s">
        <v>267</v>
      </c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</row>
    <row r="90" spans="2:19" outlineLevel="1">
      <c r="C90" t="s">
        <v>46</v>
      </c>
      <c r="E90" s="30">
        <f>CHOOSE(MATCH($E$2,{"Management";"Conservative"},0),E199,E227)</f>
        <v>19.399999999999999</v>
      </c>
      <c r="F90" s="30">
        <f>CHOOSE(MATCH($E$2,{"Management";"Conservative"},0),F199,F227)</f>
        <v>30.9</v>
      </c>
      <c r="G90" s="30">
        <f>CHOOSE(MATCH($E$2,{"Management";"Conservative"},0),G199,G227)</f>
        <v>25.5</v>
      </c>
      <c r="H90" s="30">
        <f>CHOOSE(MATCH($E$2,{"Management";"Conservative"},0),H199,H227)</f>
        <v>63.8</v>
      </c>
      <c r="I90" s="30">
        <f>CHOOSE(MATCH($E$2,{"Management";"Conservative"},0),I199,I227)</f>
        <v>58.4</v>
      </c>
      <c r="J90" s="30">
        <f>CHOOSE(MATCH($E$2,{"Management";"Conservative"},0),J199,J227)</f>
        <v>58.4</v>
      </c>
      <c r="K90" s="30">
        <f>CHOOSE(MATCH($E$2,{"Management";"Conservative"},0),K199,K227)</f>
        <v>58.4</v>
      </c>
      <c r="L90" s="30">
        <f>CHOOSE(MATCH($E$2,{"Management";"Conservative"},0),L199,L227)</f>
        <v>58.4</v>
      </c>
      <c r="M90" s="30">
        <f>CHOOSE(MATCH($E$2,{"Management";"Conservative"},0),M199,M227)</f>
        <v>58.4</v>
      </c>
      <c r="N90" s="30">
        <f>CHOOSE(MATCH($E$2,{"Management";"Conservative"},0),N199,N227)</f>
        <v>58.4</v>
      </c>
      <c r="O90" s="30">
        <f>CHOOSE(MATCH($E$2,{"Management";"Conservative"},0),O199,O227)</f>
        <v>58.4</v>
      </c>
      <c r="P90" s="30">
        <f>CHOOSE(MATCH($E$2,{"Management";"Conservative"},0),P199,P227)</f>
        <v>58.4</v>
      </c>
      <c r="Q90" s="30">
        <f>CHOOSE(MATCH($E$2,{"Management";"Conservative"},0),Q199,Q227)</f>
        <v>58.4</v>
      </c>
      <c r="R90" s="30">
        <f>CHOOSE(MATCH($E$2,{"Management";"Conservative"},0),R199,R227)</f>
        <v>58.4</v>
      </c>
      <c r="S90" s="30">
        <f>CHOOSE(MATCH($E$2,{"Management";"Conservative"},0),S199,S227)</f>
        <v>58.4</v>
      </c>
    </row>
    <row r="91" spans="2:19" outlineLevel="1">
      <c r="C91" t="s">
        <v>47</v>
      </c>
      <c r="E91" s="30">
        <f>CHOOSE(MATCH($E$2,{"Management";"Conservative"},0),E200,E228)</f>
        <v>0</v>
      </c>
      <c r="F91" s="30">
        <f>CHOOSE(MATCH($E$2,{"Management";"Conservative"},0),F200,F228)</f>
        <v>33.700000000000003</v>
      </c>
      <c r="G91" s="30">
        <f>CHOOSE(MATCH($E$2,{"Management";"Conservative"},0),G200,G228)</f>
        <v>0</v>
      </c>
      <c r="H91" s="30">
        <f>CHOOSE(MATCH($E$2,{"Management";"Conservative"},0),H200,H228)</f>
        <v>0</v>
      </c>
      <c r="I91" s="30">
        <f>CHOOSE(MATCH($E$2,{"Management";"Conservative"},0),I200,I228)</f>
        <v>0</v>
      </c>
      <c r="J91" s="30">
        <f>CHOOSE(MATCH($E$2,{"Management";"Conservative"},0),J200,J228)</f>
        <v>0</v>
      </c>
      <c r="K91" s="30">
        <f>CHOOSE(MATCH($E$2,{"Management";"Conservative"},0),K200,K228)</f>
        <v>0</v>
      </c>
      <c r="L91" s="30">
        <f>CHOOSE(MATCH($E$2,{"Management";"Conservative"},0),L200,L228)</f>
        <v>0</v>
      </c>
      <c r="M91" s="30">
        <f>CHOOSE(MATCH($E$2,{"Management";"Conservative"},0),M200,M228)</f>
        <v>0</v>
      </c>
      <c r="N91" s="30">
        <f>CHOOSE(MATCH($E$2,{"Management";"Conservative"},0),N200,N228)</f>
        <v>0</v>
      </c>
      <c r="O91" s="30">
        <f>CHOOSE(MATCH($E$2,{"Management";"Conservative"},0),O200,O228)</f>
        <v>0</v>
      </c>
      <c r="P91" s="30">
        <f>CHOOSE(MATCH($E$2,{"Management";"Conservative"},0),P200,P228)</f>
        <v>0</v>
      </c>
      <c r="Q91" s="30">
        <f>CHOOSE(MATCH($E$2,{"Management";"Conservative"},0),Q200,Q228)</f>
        <v>0</v>
      </c>
      <c r="R91" s="30">
        <f>CHOOSE(MATCH($E$2,{"Management";"Conservative"},0),R200,R228)</f>
        <v>0</v>
      </c>
      <c r="S91" s="30">
        <f>CHOOSE(MATCH($E$2,{"Management";"Conservative"},0),S200,S228)</f>
        <v>0</v>
      </c>
    </row>
    <row r="92" spans="2:19" outlineLevel="1">
      <c r="E92" s="30"/>
      <c r="F92" s="30"/>
      <c r="G92" s="30"/>
      <c r="H92" s="30"/>
      <c r="I92" s="30"/>
    </row>
    <row r="93" spans="2:19" outlineLevel="1">
      <c r="C93" t="s">
        <v>51</v>
      </c>
      <c r="E93" s="30">
        <f>CHOOSE(MATCH($E$2,{"Management";"Conservative"},0),E202,E230)</f>
        <v>2.5</v>
      </c>
      <c r="F93" s="30">
        <f>CHOOSE(MATCH($E$2,{"Management";"Conservative"},0),F202,F230)</f>
        <v>9.1999999999999993</v>
      </c>
      <c r="G93" s="30">
        <f>CHOOSE(MATCH($E$2,{"Management";"Conservative"},0),G202,G230)</f>
        <v>9.5</v>
      </c>
      <c r="H93" s="30">
        <f>CHOOSE(MATCH($E$2,{"Management";"Conservative"},0),H202,H230)</f>
        <v>19.100000000000001</v>
      </c>
      <c r="I93" s="30">
        <f>CHOOSE(MATCH($E$2,{"Management";"Conservative"},0),I202,I230)</f>
        <v>24.1</v>
      </c>
      <c r="J93" s="30">
        <f>CHOOSE(MATCH($E$2,{"Management";"Conservative"},0),J202,J230)</f>
        <v>24.1</v>
      </c>
      <c r="K93" s="30">
        <f>CHOOSE(MATCH($E$2,{"Management";"Conservative"},0),K202,K230)</f>
        <v>24.1</v>
      </c>
      <c r="L93" s="30">
        <f>CHOOSE(MATCH($E$2,{"Management";"Conservative"},0),L202,L230)</f>
        <v>24.1</v>
      </c>
      <c r="M93" s="30">
        <f>CHOOSE(MATCH($E$2,{"Management";"Conservative"},0),M202,M230)</f>
        <v>24.1</v>
      </c>
      <c r="N93" s="30">
        <f>CHOOSE(MATCH($E$2,{"Management";"Conservative"},0),N202,N230)</f>
        <v>24.1</v>
      </c>
      <c r="O93" s="30">
        <f>CHOOSE(MATCH($E$2,{"Management";"Conservative"},0),O202,O230)</f>
        <v>24.1</v>
      </c>
      <c r="P93" s="30">
        <f>CHOOSE(MATCH($E$2,{"Management";"Conservative"},0),P202,P230)</f>
        <v>24.1</v>
      </c>
      <c r="Q93" s="30">
        <f>CHOOSE(MATCH($E$2,{"Management";"Conservative"},0),Q202,Q230)</f>
        <v>24.1</v>
      </c>
      <c r="R93" s="30">
        <f>CHOOSE(MATCH($E$2,{"Management";"Conservative"},0),R202,R230)</f>
        <v>24.1</v>
      </c>
      <c r="S93" s="30">
        <f>CHOOSE(MATCH($E$2,{"Management";"Conservative"},0),S202,S230)</f>
        <v>24.1</v>
      </c>
    </row>
    <row r="94" spans="2:19" outlineLevel="1">
      <c r="C94" t="s">
        <v>52</v>
      </c>
      <c r="E94" s="30">
        <f>CHOOSE(MATCH($E$2,{"Management";"Conservative"},0),E203,E231)</f>
        <v>194.7</v>
      </c>
      <c r="F94" s="30">
        <f>CHOOSE(MATCH($E$2,{"Management";"Conservative"},0),F203,F231)</f>
        <v>142.5</v>
      </c>
      <c r="G94" s="30">
        <f>CHOOSE(MATCH($E$2,{"Management";"Conservative"},0),G203,G231)</f>
        <v>144.80000000000001</v>
      </c>
      <c r="H94" s="30">
        <f>CHOOSE(MATCH($E$2,{"Management";"Conservative"},0),H203,H231)</f>
        <v>188.6</v>
      </c>
      <c r="I94" s="30">
        <f>CHOOSE(MATCH($E$2,{"Management";"Conservative"},0),I203,I231)</f>
        <v>150.69999999999999</v>
      </c>
      <c r="J94" s="30">
        <f>CHOOSE(MATCH($E$2,{"Management";"Conservative"},0),J203,J231)</f>
        <v>150.69999999999999</v>
      </c>
      <c r="K94" s="30">
        <f>CHOOSE(MATCH($E$2,{"Management";"Conservative"},0),K203,K231)</f>
        <v>150.69999999999999</v>
      </c>
      <c r="L94" s="30">
        <f>CHOOSE(MATCH($E$2,{"Management";"Conservative"},0),L203,L231)</f>
        <v>150.69999999999999</v>
      </c>
      <c r="M94" s="30">
        <f>CHOOSE(MATCH($E$2,{"Management";"Conservative"},0),M203,M231)</f>
        <v>150.69999999999999</v>
      </c>
      <c r="N94" s="30">
        <f>CHOOSE(MATCH($E$2,{"Management";"Conservative"},0),N203,N231)</f>
        <v>150.69999999999999</v>
      </c>
      <c r="O94" s="30">
        <f>CHOOSE(MATCH($E$2,{"Management";"Conservative"},0),O203,O231)</f>
        <v>150.69999999999999</v>
      </c>
      <c r="P94" s="30">
        <f>CHOOSE(MATCH($E$2,{"Management";"Conservative"},0),P203,P231)</f>
        <v>150.69999999999999</v>
      </c>
      <c r="Q94" s="30">
        <f>CHOOSE(MATCH($E$2,{"Management";"Conservative"},0),Q203,Q231)</f>
        <v>150.69999999999999</v>
      </c>
      <c r="R94" s="30">
        <f>CHOOSE(MATCH($E$2,{"Management";"Conservative"},0),R203,R231)</f>
        <v>150.69999999999999</v>
      </c>
      <c r="S94" s="30">
        <f>CHOOSE(MATCH($E$2,{"Management";"Conservative"},0),S203,S231)</f>
        <v>150.69999999999999</v>
      </c>
    </row>
    <row r="95" spans="2:19" outlineLevel="1">
      <c r="C95" t="s">
        <v>53</v>
      </c>
      <c r="E95" s="30">
        <f>CHOOSE(MATCH($E$2,{"Management";"Conservative"},0),E204,E232)</f>
        <v>87.3</v>
      </c>
      <c r="F95" s="30">
        <f>CHOOSE(MATCH($E$2,{"Management";"Conservative"},0),F204,F232)</f>
        <v>233.5</v>
      </c>
      <c r="G95" s="30">
        <f>CHOOSE(MATCH($E$2,{"Management";"Conservative"},0),G204,G232)</f>
        <v>92.2</v>
      </c>
      <c r="H95" s="30">
        <f>CHOOSE(MATCH($E$2,{"Management";"Conservative"},0),H204,H232)</f>
        <v>160.80000000000001</v>
      </c>
      <c r="I95" s="30">
        <f>CHOOSE(MATCH($E$2,{"Management";"Conservative"},0),I204,I232)</f>
        <v>164.5</v>
      </c>
      <c r="J95" s="30">
        <f>CHOOSE(MATCH($E$2,{"Management";"Conservative"},0),J204,J232)</f>
        <v>164.5</v>
      </c>
      <c r="K95" s="30">
        <f>CHOOSE(MATCH($E$2,{"Management";"Conservative"},0),K204,K232)</f>
        <v>164.5</v>
      </c>
      <c r="L95" s="30">
        <f>CHOOSE(MATCH($E$2,{"Management";"Conservative"},0),L204,L232)</f>
        <v>164.5</v>
      </c>
      <c r="M95" s="30">
        <f>CHOOSE(MATCH($E$2,{"Management";"Conservative"},0),M204,M232)</f>
        <v>164.5</v>
      </c>
      <c r="N95" s="30">
        <f>CHOOSE(MATCH($E$2,{"Management";"Conservative"},0),N204,N232)</f>
        <v>164.5</v>
      </c>
      <c r="O95" s="30">
        <f>CHOOSE(MATCH($E$2,{"Management";"Conservative"},0),O204,O232)</f>
        <v>164.5</v>
      </c>
      <c r="P95" s="30">
        <f>CHOOSE(MATCH($E$2,{"Management";"Conservative"},0),P204,P232)</f>
        <v>164.5</v>
      </c>
      <c r="Q95" s="30">
        <f>CHOOSE(MATCH($E$2,{"Management";"Conservative"},0),Q204,Q232)</f>
        <v>164.5</v>
      </c>
      <c r="R95" s="30">
        <f>CHOOSE(MATCH($E$2,{"Management";"Conservative"},0),R204,R232)</f>
        <v>164.5</v>
      </c>
      <c r="S95" s="30">
        <f>CHOOSE(MATCH($E$2,{"Management";"Conservative"},0),S204,S232)</f>
        <v>164.5</v>
      </c>
    </row>
    <row r="96" spans="2:19" outlineLevel="1"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</row>
    <row r="97" spans="3:19" outlineLevel="1">
      <c r="C97" t="s">
        <v>58</v>
      </c>
      <c r="E97" s="30">
        <f>CHOOSE(MATCH($E$2,{"Management";"Conservative"},0),E206,E235)</f>
        <v>334.7</v>
      </c>
      <c r="F97" s="30">
        <f>CHOOSE(MATCH($E$2,{"Management";"Conservative"},0),F206,F235)</f>
        <v>334.9</v>
      </c>
      <c r="G97" s="30">
        <f>CHOOSE(MATCH($E$2,{"Management";"Conservative"},0),G206,G235)</f>
        <v>303</v>
      </c>
      <c r="H97" s="30">
        <f>CHOOSE(MATCH($E$2,{"Management";"Conservative"},0),H206,H235)</f>
        <v>1217.9000000000001</v>
      </c>
      <c r="I97" s="30">
        <f>CHOOSE(MATCH($E$2,{"Management";"Conservative"},0),I206,I235)</f>
        <v>337.4</v>
      </c>
      <c r="J97" s="30">
        <f>CHOOSE(MATCH($E$2,{"Management";"Conservative"},0),J206,J235)</f>
        <v>337.4</v>
      </c>
      <c r="K97" s="30">
        <f>CHOOSE(MATCH($E$2,{"Management";"Conservative"},0),K206,K235)</f>
        <v>337.4</v>
      </c>
      <c r="L97" s="30">
        <f>CHOOSE(MATCH($E$2,{"Management";"Conservative"},0),L206,L235)</f>
        <v>337.4</v>
      </c>
      <c r="M97" s="30">
        <f>CHOOSE(MATCH($E$2,{"Management";"Conservative"},0),M206,M235)</f>
        <v>337.4</v>
      </c>
      <c r="N97" s="30">
        <f>CHOOSE(MATCH($E$2,{"Management";"Conservative"},0),N206,N235)</f>
        <v>337.4</v>
      </c>
      <c r="O97" s="30">
        <f>CHOOSE(MATCH($E$2,{"Management";"Conservative"},0),O206,O235)</f>
        <v>337.4</v>
      </c>
      <c r="P97" s="30">
        <f>CHOOSE(MATCH($E$2,{"Management";"Conservative"},0),P206,P235)</f>
        <v>337.4</v>
      </c>
      <c r="Q97" s="30">
        <f>CHOOSE(MATCH($E$2,{"Management";"Conservative"},0),Q206,Q235)</f>
        <v>337.4</v>
      </c>
      <c r="R97" s="30">
        <f>CHOOSE(MATCH($E$2,{"Management";"Conservative"},0),R206,R235)</f>
        <v>337.4</v>
      </c>
      <c r="S97" s="30">
        <f>CHOOSE(MATCH($E$2,{"Management";"Conservative"},0),S206,S235)</f>
        <v>337.4</v>
      </c>
    </row>
    <row r="98" spans="3:19" outlineLevel="1">
      <c r="C98" t="s">
        <v>59</v>
      </c>
      <c r="E98" s="30">
        <f>CHOOSE(MATCH($E$2,{"Management";"Conservative"},0),E207,E236)</f>
        <v>163.30000000000001</v>
      </c>
      <c r="F98" s="30">
        <f>CHOOSE(MATCH($E$2,{"Management";"Conservative"},0),F207,F236)</f>
        <v>170.3</v>
      </c>
      <c r="G98" s="30">
        <f>CHOOSE(MATCH($E$2,{"Management";"Conservative"},0),G207,G236)</f>
        <v>205.9</v>
      </c>
      <c r="H98" s="30">
        <f>CHOOSE(MATCH($E$2,{"Management";"Conservative"},0),H207,H236)</f>
        <v>365.4</v>
      </c>
      <c r="I98" s="30">
        <f>CHOOSE(MATCH($E$2,{"Management";"Conservative"},0),I207,I236)</f>
        <v>367.7</v>
      </c>
      <c r="J98" s="30">
        <f>CHOOSE(MATCH($E$2,{"Management";"Conservative"},0),J207,J236)</f>
        <v>367.7</v>
      </c>
      <c r="K98" s="30">
        <f>CHOOSE(MATCH($E$2,{"Management";"Conservative"},0),K207,K236)</f>
        <v>367.7</v>
      </c>
      <c r="L98" s="30">
        <f>CHOOSE(MATCH($E$2,{"Management";"Conservative"},0),L207,L236)</f>
        <v>367.7</v>
      </c>
      <c r="M98" s="30">
        <f>CHOOSE(MATCH($E$2,{"Management";"Conservative"},0),M207,M236)</f>
        <v>367.7</v>
      </c>
      <c r="N98" s="30">
        <f>CHOOSE(MATCH($E$2,{"Management";"Conservative"},0),N207,N236)</f>
        <v>367.7</v>
      </c>
      <c r="O98" s="30">
        <f>CHOOSE(MATCH($E$2,{"Management";"Conservative"},0),O207,O236)</f>
        <v>367.7</v>
      </c>
      <c r="P98" s="30">
        <f>CHOOSE(MATCH($E$2,{"Management";"Conservative"},0),P207,P236)</f>
        <v>367.7</v>
      </c>
      <c r="Q98" s="30">
        <f>CHOOSE(MATCH($E$2,{"Management";"Conservative"},0),Q207,Q236)</f>
        <v>367.7</v>
      </c>
      <c r="R98" s="30">
        <f>CHOOSE(MATCH($E$2,{"Management";"Conservative"},0),R207,R236)</f>
        <v>367.7</v>
      </c>
      <c r="S98" s="30">
        <f>CHOOSE(MATCH($E$2,{"Management";"Conservative"},0),S207,S236)</f>
        <v>367.7</v>
      </c>
    </row>
    <row r="99" spans="3:19" outlineLevel="1">
      <c r="C99" t="s">
        <v>61</v>
      </c>
      <c r="E99" s="30">
        <f>CHOOSE(MATCH($E$2,{"Management";"Conservative"},0),E208,E238)</f>
        <v>0</v>
      </c>
      <c r="F99" s="30">
        <f>CHOOSE(MATCH($E$2,{"Management";"Conservative"},0),F208,F238)</f>
        <v>3.7</v>
      </c>
      <c r="G99" s="30">
        <f>CHOOSE(MATCH($E$2,{"Management";"Conservative"},0),G208,G238)</f>
        <v>0</v>
      </c>
      <c r="H99" s="30">
        <f>CHOOSE(MATCH($E$2,{"Management";"Conservative"},0),H208,H238)</f>
        <v>0</v>
      </c>
      <c r="I99" s="30">
        <f>CHOOSE(MATCH($E$2,{"Management";"Conservative"},0),I208,I238)</f>
        <v>0</v>
      </c>
      <c r="J99" s="30">
        <f>CHOOSE(MATCH($E$2,{"Management";"Conservative"},0),J208,J238)</f>
        <v>0</v>
      </c>
      <c r="K99" s="30">
        <f>CHOOSE(MATCH($E$2,{"Management";"Conservative"},0),K208,K238)</f>
        <v>0</v>
      </c>
      <c r="L99" s="30">
        <f>CHOOSE(MATCH($E$2,{"Management";"Conservative"},0),L208,L238)</f>
        <v>0</v>
      </c>
      <c r="M99" s="30">
        <f>CHOOSE(MATCH($E$2,{"Management";"Conservative"},0),M208,M238)</f>
        <v>0</v>
      </c>
      <c r="N99" s="30">
        <f>CHOOSE(MATCH($E$2,{"Management";"Conservative"},0),N208,N238)</f>
        <v>0</v>
      </c>
      <c r="O99" s="30">
        <f>CHOOSE(MATCH($E$2,{"Management";"Conservative"},0),O208,O238)</f>
        <v>0</v>
      </c>
      <c r="P99" s="30">
        <f>CHOOSE(MATCH($E$2,{"Management";"Conservative"},0),P208,P238)</f>
        <v>0</v>
      </c>
      <c r="Q99" s="30">
        <f>CHOOSE(MATCH($E$2,{"Management";"Conservative"},0),Q208,Q238)</f>
        <v>0</v>
      </c>
      <c r="R99" s="30">
        <f>CHOOSE(MATCH($E$2,{"Management";"Conservative"},0),R208,R238)</f>
        <v>0</v>
      </c>
      <c r="S99" s="30">
        <f>CHOOSE(MATCH($E$2,{"Management";"Conservative"},0),S208,S238)</f>
        <v>0</v>
      </c>
    </row>
    <row r="100" spans="3:19" outlineLevel="1">
      <c r="C100" t="s">
        <v>268</v>
      </c>
      <c r="E100" s="30">
        <f>CHOOSE(MATCH($E$2,{"Management";"Conservative"},0),E209,E239)</f>
        <v>319.5</v>
      </c>
      <c r="F100" s="30">
        <f>CHOOSE(MATCH($E$2,{"Management";"Conservative"},0),F209,F239)</f>
        <v>322.89999999999998</v>
      </c>
      <c r="G100" s="30">
        <f>CHOOSE(MATCH($E$2,{"Management";"Conservative"},0),G209,G239)</f>
        <v>239.9</v>
      </c>
      <c r="H100" s="30">
        <f>CHOOSE(MATCH($E$2,{"Management";"Conservative"},0),H209,H239)</f>
        <v>328.6</v>
      </c>
      <c r="I100" s="30">
        <f>CHOOSE(MATCH($E$2,{"Management";"Conservative"},0),I209,I239)</f>
        <v>357.2</v>
      </c>
      <c r="J100" s="30">
        <f>CHOOSE(MATCH($E$2,{"Management";"Conservative"},0),J209,J239)</f>
        <v>357.2</v>
      </c>
      <c r="K100" s="30">
        <f>CHOOSE(MATCH($E$2,{"Management";"Conservative"},0),K209,K239)</f>
        <v>357.2</v>
      </c>
      <c r="L100" s="30">
        <f>CHOOSE(MATCH($E$2,{"Management";"Conservative"},0),L209,L239)</f>
        <v>357.2</v>
      </c>
      <c r="M100" s="30">
        <f>CHOOSE(MATCH($E$2,{"Management";"Conservative"},0),M209,M239)</f>
        <v>357.2</v>
      </c>
      <c r="N100" s="30">
        <f>CHOOSE(MATCH($E$2,{"Management";"Conservative"},0),N209,N239)</f>
        <v>357.2</v>
      </c>
      <c r="O100" s="30">
        <f>CHOOSE(MATCH($E$2,{"Management";"Conservative"},0),O209,O239)</f>
        <v>357.2</v>
      </c>
      <c r="P100" s="30">
        <f>CHOOSE(MATCH($E$2,{"Management";"Conservative"},0),P209,P239)</f>
        <v>357.2</v>
      </c>
      <c r="Q100" s="30">
        <f>CHOOSE(MATCH($E$2,{"Management";"Conservative"},0),Q209,Q239)</f>
        <v>357.2</v>
      </c>
      <c r="R100" s="30">
        <f>CHOOSE(MATCH($E$2,{"Management";"Conservative"},0),R209,R239)</f>
        <v>357.2</v>
      </c>
      <c r="S100" s="30">
        <f>CHOOSE(MATCH($E$2,{"Management";"Conservative"},0),S209,S239)</f>
        <v>357.2</v>
      </c>
    </row>
    <row r="101" spans="3:19" outlineLevel="1">
      <c r="C101" t="s">
        <v>60</v>
      </c>
      <c r="E101" s="30">
        <f>CHOOSE(MATCH($E$2,{"Management";"Conservative"},0),E210,E241)</f>
        <v>98.3</v>
      </c>
      <c r="F101" s="30">
        <f>CHOOSE(MATCH($E$2,{"Management";"Conservative"},0),F210,F241)</f>
        <v>95.6</v>
      </c>
      <c r="G101" s="30">
        <f>CHOOSE(MATCH($E$2,{"Management";"Conservative"},0),G210,G241)</f>
        <v>78</v>
      </c>
      <c r="H101" s="30">
        <f>CHOOSE(MATCH($E$2,{"Management";"Conservative"},0),H210,H241)</f>
        <v>200.5</v>
      </c>
      <c r="I101" s="30">
        <f>CHOOSE(MATCH($E$2,{"Management";"Conservative"},0),I210,I241)</f>
        <v>183.1</v>
      </c>
      <c r="J101" s="30">
        <f>CHOOSE(MATCH($E$2,{"Management";"Conservative"},0),J210,J241)</f>
        <v>183.1</v>
      </c>
      <c r="K101" s="30">
        <f>CHOOSE(MATCH($E$2,{"Management";"Conservative"},0),K210,K241)</f>
        <v>183.1</v>
      </c>
      <c r="L101" s="30">
        <f>CHOOSE(MATCH($E$2,{"Management";"Conservative"},0),L210,L241)</f>
        <v>183.1</v>
      </c>
      <c r="M101" s="30">
        <f>CHOOSE(MATCH($E$2,{"Management";"Conservative"},0),M210,M241)</f>
        <v>183.1</v>
      </c>
      <c r="N101" s="30">
        <f>CHOOSE(MATCH($E$2,{"Management";"Conservative"},0),N210,N241)</f>
        <v>183.1</v>
      </c>
      <c r="O101" s="30">
        <f>CHOOSE(MATCH($E$2,{"Management";"Conservative"},0),O210,O241)</f>
        <v>183.1</v>
      </c>
      <c r="P101" s="30">
        <f>CHOOSE(MATCH($E$2,{"Management";"Conservative"},0),P210,P241)</f>
        <v>183.1</v>
      </c>
      <c r="Q101" s="30">
        <f>CHOOSE(MATCH($E$2,{"Management";"Conservative"},0),Q210,Q241)</f>
        <v>183.1</v>
      </c>
      <c r="R101" s="30">
        <f>CHOOSE(MATCH($E$2,{"Management";"Conservative"},0),R210,R241)</f>
        <v>183.1</v>
      </c>
      <c r="S101" s="30">
        <f>CHOOSE(MATCH($E$2,{"Management";"Conservative"},0),S210,S241)</f>
        <v>183.1</v>
      </c>
    </row>
    <row r="102" spans="3:19" outlineLevel="1">
      <c r="C102" t="s">
        <v>63</v>
      </c>
      <c r="E102" s="30">
        <f>CHOOSE(MATCH($E$2,{"Management";"Conservative"},0),E211,E242)</f>
        <v>379.9</v>
      </c>
      <c r="F102" s="30">
        <f>CHOOSE(MATCH($E$2,{"Management";"Conservative"},0),F211,F242)</f>
        <v>367.2</v>
      </c>
      <c r="G102" s="30">
        <f>CHOOSE(MATCH($E$2,{"Management";"Conservative"},0),G211,G242)</f>
        <v>322.5</v>
      </c>
      <c r="H102" s="30">
        <f>CHOOSE(MATCH($E$2,{"Management";"Conservative"},0),H211,H242)</f>
        <v>404.7</v>
      </c>
      <c r="I102" s="30">
        <f>CHOOSE(MATCH($E$2,{"Management";"Conservative"},0),I211,I242)</f>
        <v>338.9</v>
      </c>
      <c r="J102" s="30">
        <f>CHOOSE(MATCH($E$2,{"Management";"Conservative"},0),J211,J242)</f>
        <v>338.9</v>
      </c>
      <c r="K102" s="30">
        <f>CHOOSE(MATCH($E$2,{"Management";"Conservative"},0),K211,K242)</f>
        <v>338.9</v>
      </c>
      <c r="L102" s="30">
        <f>CHOOSE(MATCH($E$2,{"Management";"Conservative"},0),L211,L242)</f>
        <v>338.9</v>
      </c>
      <c r="M102" s="30">
        <f>CHOOSE(MATCH($E$2,{"Management";"Conservative"},0),M211,M242)</f>
        <v>338.9</v>
      </c>
      <c r="N102" s="30">
        <f>CHOOSE(MATCH($E$2,{"Management";"Conservative"},0),N211,N242)</f>
        <v>338.9</v>
      </c>
      <c r="O102" s="30">
        <f>CHOOSE(MATCH($E$2,{"Management";"Conservative"},0),O211,O242)</f>
        <v>338.9</v>
      </c>
      <c r="P102" s="30">
        <f>CHOOSE(MATCH($E$2,{"Management";"Conservative"},0),P211,P242)</f>
        <v>338.9</v>
      </c>
      <c r="Q102" s="30">
        <f>CHOOSE(MATCH($E$2,{"Management";"Conservative"},0),Q211,Q242)</f>
        <v>338.9</v>
      </c>
      <c r="R102" s="30">
        <f>CHOOSE(MATCH($E$2,{"Management";"Conservative"},0),R211,R242)</f>
        <v>338.9</v>
      </c>
      <c r="S102" s="30">
        <f>CHOOSE(MATCH($E$2,{"Management";"Conservative"},0),S211,S242)</f>
        <v>338.9</v>
      </c>
    </row>
    <row r="103" spans="3:19" outlineLevel="1"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</row>
    <row r="104" spans="3:19" outlineLevel="1">
      <c r="C104" t="s">
        <v>65</v>
      </c>
      <c r="E104" s="30">
        <f>CHOOSE(MATCH($E$2,{"Management";"Conservative"},0),E213,E244)</f>
        <v>31.3</v>
      </c>
      <c r="F104" s="30">
        <f>CHOOSE(MATCH($E$2,{"Management";"Conservative"},0),F213,F244)</f>
        <v>36.4</v>
      </c>
      <c r="G104" s="30">
        <f>CHOOSE(MATCH($E$2,{"Management";"Conservative"},0),G213,G244)</f>
        <v>36.1</v>
      </c>
      <c r="H104" s="30">
        <f>CHOOSE(MATCH($E$2,{"Management";"Conservative"},0),H213,H244)</f>
        <v>35.700000000000003</v>
      </c>
      <c r="I104" s="30">
        <f>CHOOSE(MATCH($E$2,{"Management";"Conservative"},0),I213,I244)</f>
        <v>41</v>
      </c>
      <c r="J104" s="30">
        <f>CHOOSE(MATCH($E$2,{"Management";"Conservative"},0),J213,J244)</f>
        <v>41</v>
      </c>
      <c r="K104" s="30">
        <f>CHOOSE(MATCH($E$2,{"Management";"Conservative"},0),K213,K244)</f>
        <v>41</v>
      </c>
      <c r="L104" s="30">
        <f>CHOOSE(MATCH($E$2,{"Management";"Conservative"},0),L213,L244)</f>
        <v>41</v>
      </c>
      <c r="M104" s="30">
        <f>CHOOSE(MATCH($E$2,{"Management";"Conservative"},0),M213,M244)</f>
        <v>41</v>
      </c>
      <c r="N104" s="30">
        <f>CHOOSE(MATCH($E$2,{"Management";"Conservative"},0),N213,N244)</f>
        <v>41</v>
      </c>
      <c r="O104" s="30">
        <f>CHOOSE(MATCH($E$2,{"Management";"Conservative"},0),O213,O244)</f>
        <v>41</v>
      </c>
      <c r="P104" s="30">
        <f>CHOOSE(MATCH($E$2,{"Management";"Conservative"},0),P213,P244)</f>
        <v>41</v>
      </c>
      <c r="Q104" s="30">
        <f>CHOOSE(MATCH($E$2,{"Management";"Conservative"},0),Q213,Q244)</f>
        <v>41</v>
      </c>
      <c r="R104" s="30">
        <f>CHOOSE(MATCH($E$2,{"Management";"Conservative"},0),R213,R244)</f>
        <v>41</v>
      </c>
      <c r="S104" s="30">
        <f>CHOOSE(MATCH($E$2,{"Management";"Conservative"},0),S213,S244)</f>
        <v>41</v>
      </c>
    </row>
    <row r="105" spans="3:19" outlineLevel="1"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</row>
    <row r="106" spans="3:19" outlineLevel="1">
      <c r="C106" s="39" t="s">
        <v>269</v>
      </c>
      <c r="D106" s="54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</row>
    <row r="107" spans="3:19" outlineLevel="1">
      <c r="C107" t="s">
        <v>270</v>
      </c>
      <c r="E107" s="94"/>
      <c r="F107" s="94"/>
      <c r="G107" s="94"/>
      <c r="H107" s="94"/>
      <c r="I107" s="94"/>
      <c r="J107" s="94">
        <f>CHOOSE(MATCH($E$2,{"Management";"Conservative"},0),J216,J246)</f>
        <v>0.05</v>
      </c>
      <c r="K107" s="94">
        <f>CHOOSE(MATCH($E$2,{"Management";"Conservative"},0),K216,K246)</f>
        <v>0.05</v>
      </c>
      <c r="L107" s="94">
        <f>CHOOSE(MATCH($E$2,{"Management";"Conservative"},0),L216,L246)</f>
        <v>0.05</v>
      </c>
      <c r="M107" s="94">
        <f>CHOOSE(MATCH($E$2,{"Management";"Conservative"},0),M216,M246)</f>
        <v>0.05</v>
      </c>
      <c r="N107" s="94">
        <f>CHOOSE(MATCH($E$2,{"Management";"Conservative"},0),N216,N246)</f>
        <v>0.05</v>
      </c>
      <c r="O107" s="94">
        <f>CHOOSE(MATCH($E$2,{"Management";"Conservative"},0),O216,O246)</f>
        <v>0.05</v>
      </c>
      <c r="P107" s="94">
        <f>CHOOSE(MATCH($E$2,{"Management";"Conservative"},0),P216,P246)</f>
        <v>0.05</v>
      </c>
      <c r="Q107" s="94">
        <f>CHOOSE(MATCH($E$2,{"Management";"Conservative"},0),Q216,Q246)</f>
        <v>0.05</v>
      </c>
      <c r="R107" s="94">
        <f>CHOOSE(MATCH($E$2,{"Management";"Conservative"},0),R216,R246)</f>
        <v>0.05</v>
      </c>
      <c r="S107" s="94">
        <f>CHOOSE(MATCH($E$2,{"Management";"Conservative"},0),S216,S246)</f>
        <v>0.05</v>
      </c>
    </row>
    <row r="108" spans="3:19" outlineLevel="1"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</row>
    <row r="109" spans="3:19" outlineLevel="1">
      <c r="C109" t="s">
        <v>271</v>
      </c>
      <c r="E109" s="94"/>
      <c r="F109" s="94"/>
      <c r="G109" s="94"/>
      <c r="H109" s="94"/>
      <c r="I109" s="94"/>
      <c r="J109" s="94">
        <f>CHOOSE(MATCH($E$2,{"Management";"Conservative"},0),J218,J248)</f>
        <v>0</v>
      </c>
      <c r="K109" s="94">
        <f>CHOOSE(MATCH($E$2,{"Management";"Conservative"},0),K218,K248)</f>
        <v>0</v>
      </c>
      <c r="L109" s="94">
        <f>CHOOSE(MATCH($E$2,{"Management";"Conservative"},0),L218,L248)</f>
        <v>0</v>
      </c>
      <c r="M109" s="94">
        <f>CHOOSE(MATCH($E$2,{"Management";"Conservative"},0),M218,M248)</f>
        <v>0</v>
      </c>
      <c r="N109" s="94">
        <f>CHOOSE(MATCH($E$2,{"Management";"Conservative"},0),N218,N248)</f>
        <v>0</v>
      </c>
      <c r="O109" s="94">
        <f>CHOOSE(MATCH($E$2,{"Management";"Conservative"},0),O218,O248)</f>
        <v>0</v>
      </c>
      <c r="P109" s="94">
        <f>CHOOSE(MATCH($E$2,{"Management";"Conservative"},0),P218,P248)</f>
        <v>0</v>
      </c>
      <c r="Q109" s="94">
        <f>CHOOSE(MATCH($E$2,{"Management";"Conservative"},0),Q218,Q248)</f>
        <v>0</v>
      </c>
      <c r="R109" s="94">
        <f>CHOOSE(MATCH($E$2,{"Management";"Conservative"},0),R218,R248)</f>
        <v>0</v>
      </c>
      <c r="S109" s="94">
        <f>CHOOSE(MATCH($E$2,{"Management";"Conservative"},0),S218,S248)</f>
        <v>0</v>
      </c>
    </row>
    <row r="110" spans="3:19" outlineLevel="1">
      <c r="C110" t="s">
        <v>169</v>
      </c>
      <c r="E110" s="94"/>
      <c r="F110" s="94"/>
      <c r="G110" s="94"/>
      <c r="H110" s="94"/>
      <c r="I110" s="94"/>
      <c r="J110" s="94">
        <f>CHOOSE(MATCH($E$2,{"Management";"Conservative"},0),J219,J249)</f>
        <v>0.15</v>
      </c>
      <c r="K110" s="94">
        <f>CHOOSE(MATCH($E$2,{"Management";"Conservative"},0),K219,K249)</f>
        <v>0.15</v>
      </c>
      <c r="L110" s="94">
        <f>CHOOSE(MATCH($E$2,{"Management";"Conservative"},0),L219,L249)</f>
        <v>0.15</v>
      </c>
      <c r="M110" s="94">
        <f>CHOOSE(MATCH($E$2,{"Management";"Conservative"},0),M219,M249)</f>
        <v>0</v>
      </c>
      <c r="N110" s="94">
        <f>CHOOSE(MATCH($E$2,{"Management";"Conservative"},0),N219,N249)</f>
        <v>0</v>
      </c>
      <c r="O110" s="94">
        <f>CHOOSE(MATCH($E$2,{"Management";"Conservative"},0),O219,O249)</f>
        <v>0</v>
      </c>
      <c r="P110" s="94">
        <f>CHOOSE(MATCH($E$2,{"Management";"Conservative"},0),P219,P249)</f>
        <v>0</v>
      </c>
      <c r="Q110" s="94">
        <f>CHOOSE(MATCH($E$2,{"Management";"Conservative"},0),Q219,Q249)</f>
        <v>0</v>
      </c>
      <c r="R110" s="94">
        <f>CHOOSE(MATCH($E$2,{"Management";"Conservative"},0),R219,R249)</f>
        <v>0</v>
      </c>
      <c r="S110" s="94">
        <f>CHOOSE(MATCH($E$2,{"Management";"Conservative"},0),S219,S249)</f>
        <v>0</v>
      </c>
    </row>
    <row r="111" spans="3:19" outlineLevel="1"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</row>
    <row r="112" spans="3:19" outlineLevel="1">
      <c r="C112" t="s">
        <v>172</v>
      </c>
      <c r="E112" s="94"/>
      <c r="F112" s="94"/>
      <c r="G112" s="94"/>
      <c r="H112" s="94"/>
      <c r="I112" s="94"/>
      <c r="J112" s="94">
        <f>CHOOSE(MATCH($E$2,{"Management";"Conservative"},0),J221,J251)</f>
        <v>2.7040000000000002E-2</v>
      </c>
      <c r="K112" s="94">
        <f>CHOOSE(MATCH($E$2,{"Management";"Conservative"},0),K221,K251)</f>
        <v>2.7040000000000002E-2</v>
      </c>
      <c r="L112" s="94">
        <f>CHOOSE(MATCH($E$2,{"Management";"Conservative"},0),L221,L251)</f>
        <v>2.7040000000000002E-2</v>
      </c>
      <c r="M112" s="94">
        <f>CHOOSE(MATCH($E$2,{"Management";"Conservative"},0),M221,M251)</f>
        <v>2.7040000000000002E-2</v>
      </c>
      <c r="N112" s="94">
        <f>CHOOSE(MATCH($E$2,{"Management";"Conservative"},0),N221,N251)</f>
        <v>2.7040000000000002E-2</v>
      </c>
      <c r="O112" s="94">
        <f>CHOOSE(MATCH($E$2,{"Management";"Conservative"},0),O221,O251)</f>
        <v>2.7040000000000002E-2</v>
      </c>
      <c r="P112" s="94">
        <f>CHOOSE(MATCH($E$2,{"Management";"Conservative"},0),P221,P251)</f>
        <v>2.7040000000000002E-2</v>
      </c>
      <c r="Q112" s="94">
        <f>CHOOSE(MATCH($E$2,{"Management";"Conservative"},0),Q221,Q251)</f>
        <v>2.7040000000000002E-2</v>
      </c>
      <c r="R112" s="94">
        <f>CHOOSE(MATCH($E$2,{"Management";"Conservative"},0),R221,R251)</f>
        <v>2.7040000000000002E-2</v>
      </c>
      <c r="S112" s="94">
        <f>CHOOSE(MATCH($E$2,{"Management";"Conservative"},0),S221,S251)</f>
        <v>2.7040000000000002E-2</v>
      </c>
    </row>
    <row r="113" spans="2:20" outlineLevel="1"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</row>
    <row r="114" spans="2:20" outlineLevel="1">
      <c r="C114" t="s">
        <v>67</v>
      </c>
      <c r="E114" s="30">
        <f>CHOOSE(MATCH($E$2,{"Management";"Conservative"},0),E223,E246)</f>
        <v>1.4</v>
      </c>
      <c r="F114" s="30">
        <f>CHOOSE(MATCH($E$2,{"Management";"Conservative"},0),F223,F246)</f>
        <v>1.4</v>
      </c>
      <c r="G114" s="30">
        <f>CHOOSE(MATCH($E$2,{"Management";"Conservative"},0),G223,G246)</f>
        <v>1.5</v>
      </c>
      <c r="H114" s="30">
        <f>CHOOSE(MATCH($E$2,{"Management";"Conservative"},0),H223,H246)</f>
        <v>1.6</v>
      </c>
      <c r="I114" s="30">
        <f>CHOOSE(MATCH($E$2,{"Management";"Conservative"},0),I223,I246)</f>
        <v>1.6</v>
      </c>
      <c r="J114" s="30">
        <f>CHOOSE(MATCH($E$2,{"Management";"Conservative"},0),J223,J246)</f>
        <v>1.6</v>
      </c>
      <c r="K114" s="30">
        <f>CHOOSE(MATCH($E$2,{"Management";"Conservative"},0),K223,K246)</f>
        <v>1.6</v>
      </c>
      <c r="L114" s="30">
        <f>CHOOSE(MATCH($E$2,{"Management";"Conservative"},0),L223,L246)</f>
        <v>1.6</v>
      </c>
      <c r="M114" s="30">
        <f>CHOOSE(MATCH($E$2,{"Management";"Conservative"},0),M223,M246)</f>
        <v>1.6</v>
      </c>
      <c r="N114" s="30">
        <f>CHOOSE(MATCH($E$2,{"Management";"Conservative"},0),N223,N246)</f>
        <v>1.6</v>
      </c>
      <c r="O114" s="30">
        <f>CHOOSE(MATCH($E$2,{"Management";"Conservative"},0),O223,O246)</f>
        <v>1.6</v>
      </c>
      <c r="P114" s="30">
        <f>CHOOSE(MATCH($E$2,{"Management";"Conservative"},0),P223,P246)</f>
        <v>1.6</v>
      </c>
      <c r="Q114" s="30">
        <f>CHOOSE(MATCH($E$2,{"Management";"Conservative"},0),Q223,Q246)</f>
        <v>1.6</v>
      </c>
      <c r="R114" s="30">
        <f>CHOOSE(MATCH($E$2,{"Management";"Conservative"},0),R223,R246)</f>
        <v>1.6</v>
      </c>
      <c r="S114" s="30">
        <f>CHOOSE(MATCH($E$2,{"Management";"Conservative"},0),S223,S246)</f>
        <v>1.6</v>
      </c>
    </row>
    <row r="116" spans="2:20" outlineLevel="1">
      <c r="B116" t="s">
        <v>0</v>
      </c>
      <c r="C116" s="200" t="s">
        <v>239</v>
      </c>
      <c r="D116" s="200"/>
      <c r="E116" s="201">
        <v>2020</v>
      </c>
      <c r="F116" s="201">
        <f>E116+1</f>
        <v>2021</v>
      </c>
      <c r="G116" s="201">
        <f t="shared" ref="G116:N116" si="1">F116+1</f>
        <v>2022</v>
      </c>
      <c r="H116" s="201">
        <f t="shared" si="1"/>
        <v>2023</v>
      </c>
      <c r="I116" s="201">
        <f t="shared" si="1"/>
        <v>2024</v>
      </c>
      <c r="J116" s="202">
        <f t="shared" si="1"/>
        <v>2025</v>
      </c>
      <c r="K116" s="202">
        <f t="shared" si="1"/>
        <v>2026</v>
      </c>
      <c r="L116" s="202">
        <f t="shared" si="1"/>
        <v>2027</v>
      </c>
      <c r="M116" s="202">
        <f t="shared" si="1"/>
        <v>2028</v>
      </c>
      <c r="N116" s="202">
        <f t="shared" si="1"/>
        <v>2029</v>
      </c>
      <c r="O116" s="202">
        <f t="shared" ref="O116" si="2">N116+1</f>
        <v>2030</v>
      </c>
      <c r="P116" s="202">
        <f t="shared" ref="P116" si="3">O116+1</f>
        <v>2031</v>
      </c>
      <c r="Q116" s="202">
        <f t="shared" ref="Q116" si="4">P116+1</f>
        <v>2032</v>
      </c>
      <c r="R116" s="202">
        <f t="shared" ref="R116" si="5">Q116+1</f>
        <v>2033</v>
      </c>
      <c r="S116" s="202">
        <f t="shared" ref="S116" si="6">R116+1</f>
        <v>2034</v>
      </c>
    </row>
    <row r="117" spans="2:20" outlineLevel="1">
      <c r="C117" s="36"/>
      <c r="D117" s="36"/>
      <c r="E117" s="37"/>
      <c r="F117" s="37"/>
      <c r="G117" s="37"/>
      <c r="H117" s="37"/>
      <c r="I117" s="37"/>
      <c r="J117" s="38"/>
      <c r="K117" s="38"/>
      <c r="L117" s="38"/>
      <c r="M117" s="38"/>
      <c r="N117" s="38"/>
    </row>
    <row r="118" spans="2:20" outlineLevel="1">
      <c r="B118" t="s">
        <v>0</v>
      </c>
      <c r="C118" s="39" t="s">
        <v>2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</row>
    <row r="119" spans="2:20" outlineLevel="1">
      <c r="C119" s="28" t="s">
        <v>241</v>
      </c>
      <c r="D119" s="28"/>
      <c r="E119" s="73" t="s">
        <v>272</v>
      </c>
      <c r="F119" s="154">
        <v>0.16478800709503919</v>
      </c>
      <c r="G119" s="154">
        <v>1.7708896202780346E-2</v>
      </c>
      <c r="H119" s="154">
        <v>0.17767587788101841</v>
      </c>
      <c r="I119" s="154">
        <v>4.4162550976494457E-2</v>
      </c>
      <c r="J119" s="147">
        <v>-1.204749034749035E-2</v>
      </c>
      <c r="K119" s="147">
        <v>5.2486486486486489E-2</v>
      </c>
      <c r="L119" s="147">
        <v>5.6324324324324326E-2</v>
      </c>
      <c r="M119" s="147">
        <v>5.4162162162162165E-2</v>
      </c>
      <c r="N119" s="147">
        <v>5.3498069498069505E-2</v>
      </c>
      <c r="O119" s="155">
        <f>N119-($N$119-$S$119)/($S$116-$N$116)</f>
        <v>4.8398455598455604E-2</v>
      </c>
      <c r="P119" s="155">
        <f t="shared" ref="P119:R119" si="7">O119-($N$119-$S$119)/($S$116-$N$116)</f>
        <v>4.3298841698841704E-2</v>
      </c>
      <c r="Q119" s="155">
        <f t="shared" si="7"/>
        <v>3.8199227799227804E-2</v>
      </c>
      <c r="R119" s="155">
        <f t="shared" si="7"/>
        <v>3.3099613899613904E-2</v>
      </c>
      <c r="S119" s="155">
        <v>2.8000000000000001E-2</v>
      </c>
      <c r="T119" s="3"/>
    </row>
    <row r="120" spans="2:20" outlineLevel="1">
      <c r="C120" s="28" t="s">
        <v>242</v>
      </c>
      <c r="D120" s="28"/>
      <c r="E120" s="73" t="s">
        <v>272</v>
      </c>
      <c r="F120" s="154">
        <v>0.20634131796044133</v>
      </c>
      <c r="G120" s="154">
        <v>0.31560517426052559</v>
      </c>
      <c r="H120" s="154">
        <v>0.16984499765147959</v>
      </c>
      <c r="I120" s="154">
        <v>9.6629995449556874E-2</v>
      </c>
      <c r="J120" s="147">
        <v>-4.1000000000000009E-2</v>
      </c>
      <c r="K120" s="147">
        <v>4.4999999999999998E-2</v>
      </c>
      <c r="L120" s="147">
        <v>0.08</v>
      </c>
      <c r="M120" s="147">
        <v>7.1999999999999995E-2</v>
      </c>
      <c r="N120" s="147">
        <v>5.8999999999999997E-2</v>
      </c>
      <c r="O120" s="147">
        <f>N120-($N$120-$S$120)/($S$116-$N$116)</f>
        <v>5.2940000000000001E-2</v>
      </c>
      <c r="P120" s="147">
        <f t="shared" ref="P120:R120" si="8">O120-($N$120-$S$120)/($S$116-$N$116)</f>
        <v>4.6880000000000005E-2</v>
      </c>
      <c r="Q120" s="147">
        <f t="shared" si="8"/>
        <v>4.0820000000000009E-2</v>
      </c>
      <c r="R120" s="147">
        <f t="shared" si="8"/>
        <v>3.4760000000000013E-2</v>
      </c>
      <c r="S120" s="147">
        <v>2.87E-2</v>
      </c>
    </row>
    <row r="121" spans="2:20" outlineLevel="1">
      <c r="C121" s="28" t="s">
        <v>243</v>
      </c>
      <c r="D121" s="28"/>
      <c r="E121" s="73" t="s">
        <v>272</v>
      </c>
      <c r="F121" s="154">
        <v>0.20750884930076025</v>
      </c>
      <c r="G121" s="154">
        <v>0.12960738142150022</v>
      </c>
      <c r="H121" s="154">
        <v>0.11588530587934999</v>
      </c>
      <c r="I121" s="154">
        <v>-1.9824628288219594E-2</v>
      </c>
      <c r="J121" s="147">
        <v>-8.4999999999999992E-2</v>
      </c>
      <c r="K121" s="147">
        <v>6.6000000000000003E-2</v>
      </c>
      <c r="L121" s="147">
        <v>6.7000000000000004E-2</v>
      </c>
      <c r="M121" s="147">
        <v>5.7000000000000002E-2</v>
      </c>
      <c r="N121" s="147">
        <v>5.2000000000000005E-2</v>
      </c>
      <c r="O121" s="147">
        <f>N121-($N$121-$S$121)/($S$116-$N$116)</f>
        <v>4.7020000000000006E-2</v>
      </c>
      <c r="P121" s="147">
        <f>O121-($N$121-$S$121)/($S$116-$N$116)</f>
        <v>4.2040000000000008E-2</v>
      </c>
      <c r="Q121" s="147">
        <f t="shared" ref="Q121:R121" si="9">P121-($N$121-$S$121)/($S$116-$N$116)</f>
        <v>3.706000000000001E-2</v>
      </c>
      <c r="R121" s="147">
        <f t="shared" si="9"/>
        <v>3.2080000000000011E-2</v>
      </c>
      <c r="S121" s="147">
        <v>2.7099999999999999E-2</v>
      </c>
    </row>
    <row r="122" spans="2:20" outlineLevel="1">
      <c r="C122" s="28" t="s">
        <v>244</v>
      </c>
      <c r="D122" s="28"/>
      <c r="E122" s="73" t="s">
        <v>272</v>
      </c>
      <c r="F122" s="154">
        <v>4.0049481985464631E-2</v>
      </c>
      <c r="G122" s="154">
        <v>0.19565863812072556</v>
      </c>
      <c r="H122" s="154">
        <v>-1</v>
      </c>
      <c r="I122" s="154" t="e">
        <v>#DIV/0!</v>
      </c>
      <c r="J122" s="156">
        <v>0</v>
      </c>
      <c r="K122" s="156">
        <v>0</v>
      </c>
      <c r="L122" s="156">
        <v>0</v>
      </c>
      <c r="M122" s="156">
        <v>0</v>
      </c>
      <c r="N122" s="156">
        <v>0</v>
      </c>
      <c r="O122" s="156">
        <v>0</v>
      </c>
      <c r="P122" s="156">
        <v>0</v>
      </c>
      <c r="Q122" s="156">
        <v>0</v>
      </c>
      <c r="R122" s="156">
        <v>0</v>
      </c>
      <c r="S122" s="156">
        <v>0</v>
      </c>
    </row>
    <row r="123" spans="2:20" outlineLevel="1">
      <c r="C123" s="29"/>
      <c r="D123" s="29"/>
      <c r="E123" s="20"/>
      <c r="F123" s="20"/>
      <c r="G123" s="20"/>
      <c r="H123" s="20"/>
      <c r="I123" s="20"/>
      <c r="J123" s="41"/>
      <c r="K123" s="41"/>
      <c r="L123" s="41"/>
      <c r="M123" s="41"/>
      <c r="N123" s="41"/>
      <c r="O123" s="41"/>
      <c r="P123" s="41"/>
      <c r="Q123" s="41"/>
      <c r="R123" s="41"/>
      <c r="S123" s="41"/>
    </row>
    <row r="124" spans="2:20" outlineLevel="1">
      <c r="B124" t="s">
        <v>0</v>
      </c>
      <c r="C124" s="42" t="s">
        <v>10</v>
      </c>
      <c r="D124" s="42"/>
      <c r="E124" s="43"/>
      <c r="F124" s="43"/>
      <c r="G124" s="43"/>
      <c r="H124" s="43"/>
      <c r="I124" s="43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2:20" outlineLevel="1">
      <c r="C125" s="28" t="s">
        <v>245</v>
      </c>
      <c r="D125" s="28"/>
      <c r="E125" s="154">
        <v>0.45225703259876099</v>
      </c>
      <c r="F125" s="154">
        <v>0.48215038422878631</v>
      </c>
      <c r="G125" s="154">
        <v>0.50630015821879937</v>
      </c>
      <c r="H125" s="154">
        <v>0.46391899346893739</v>
      </c>
      <c r="I125" s="154">
        <v>0.45456554819732903</v>
      </c>
      <c r="J125" s="147">
        <v>0.45</v>
      </c>
      <c r="K125" s="147">
        <v>0.45</v>
      </c>
      <c r="L125" s="147">
        <v>0.45</v>
      </c>
      <c r="M125" s="147">
        <v>0.45</v>
      </c>
      <c r="N125" s="147">
        <v>0.45</v>
      </c>
      <c r="O125" s="147">
        <v>0.45</v>
      </c>
      <c r="P125" s="147">
        <v>0.45</v>
      </c>
      <c r="Q125" s="147">
        <v>0.45</v>
      </c>
      <c r="R125" s="147">
        <v>0.45</v>
      </c>
      <c r="S125" s="147">
        <v>0.45</v>
      </c>
    </row>
    <row r="126" spans="2:20" outlineLevel="1">
      <c r="C126" s="28"/>
      <c r="D126" s="28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20" outlineLevel="1">
      <c r="B127" t="s">
        <v>0</v>
      </c>
      <c r="C127" s="42" t="s">
        <v>14</v>
      </c>
      <c r="D127" s="42"/>
      <c r="E127" s="43"/>
      <c r="F127" s="43"/>
      <c r="G127" s="43"/>
      <c r="H127" s="43"/>
      <c r="I127" s="43"/>
      <c r="J127" s="45"/>
      <c r="K127" s="45"/>
      <c r="L127" s="45"/>
      <c r="M127" s="45"/>
      <c r="N127" s="45"/>
      <c r="O127" s="45"/>
      <c r="P127" s="45"/>
      <c r="Q127" s="45"/>
      <c r="R127" s="45"/>
      <c r="S127" s="45"/>
    </row>
    <row r="128" spans="2:20" outlineLevel="1">
      <c r="C128" s="28" t="s">
        <v>246</v>
      </c>
      <c r="D128" s="28"/>
      <c r="E128" s="154">
        <v>0.19370112724687721</v>
      </c>
      <c r="F128" s="154">
        <v>0.1767452417236795</v>
      </c>
      <c r="G128" s="154">
        <v>0.16303208219752566</v>
      </c>
      <c r="H128" s="154">
        <v>0.17856316623066928</v>
      </c>
      <c r="I128" s="154">
        <v>0.18223087451437123</v>
      </c>
      <c r="J128" s="147">
        <v>0.189</v>
      </c>
      <c r="K128" s="147">
        <v>0.182</v>
      </c>
      <c r="L128" s="147">
        <v>0.17699999999999999</v>
      </c>
      <c r="M128" s="147">
        <v>0.17699999999999999</v>
      </c>
      <c r="N128" s="147">
        <v>0.17699999999999999</v>
      </c>
      <c r="O128" s="147">
        <f>N128</f>
        <v>0.17699999999999999</v>
      </c>
      <c r="P128" s="147">
        <f>O128</f>
        <v>0.17699999999999999</v>
      </c>
      <c r="Q128" s="147">
        <f t="shared" ref="Q128:S128" si="10">P128</f>
        <v>0.17699999999999999</v>
      </c>
      <c r="R128" s="147">
        <f t="shared" si="10"/>
        <v>0.17699999999999999</v>
      </c>
      <c r="S128" s="147">
        <f t="shared" si="10"/>
        <v>0.17699999999999999</v>
      </c>
    </row>
    <row r="129" spans="2:19" outlineLevel="1">
      <c r="C129" s="28" t="s">
        <v>247</v>
      </c>
      <c r="D129" s="28"/>
      <c r="E129" s="154">
        <v>5.0713415253376658E-2</v>
      </c>
      <c r="F129" s="154">
        <v>5.0419895593528087E-2</v>
      </c>
      <c r="G129" s="154">
        <v>4.7513296097905028E-2</v>
      </c>
      <c r="H129" s="154">
        <v>5.1029487658605162E-2</v>
      </c>
      <c r="I129" s="154">
        <v>5.2843213098587964E-2</v>
      </c>
      <c r="J129" s="147">
        <v>5.1999999999999998E-2</v>
      </c>
      <c r="K129" s="147">
        <v>5.0999999999999997E-2</v>
      </c>
      <c r="L129" s="147">
        <v>0.05</v>
      </c>
      <c r="M129" s="147">
        <v>4.9000000000000002E-2</v>
      </c>
      <c r="N129" s="147">
        <v>4.9000000000000002E-2</v>
      </c>
      <c r="O129" s="147">
        <f>N129</f>
        <v>4.9000000000000002E-2</v>
      </c>
      <c r="P129" s="147">
        <f t="shared" ref="P129:S129" si="11">O129</f>
        <v>4.9000000000000002E-2</v>
      </c>
      <c r="Q129" s="147">
        <f t="shared" si="11"/>
        <v>4.9000000000000002E-2</v>
      </c>
      <c r="R129" s="147">
        <f t="shared" si="11"/>
        <v>4.9000000000000002E-2</v>
      </c>
      <c r="S129" s="147">
        <f t="shared" si="11"/>
        <v>4.9000000000000002E-2</v>
      </c>
    </row>
    <row r="130" spans="2:19" outlineLevel="1">
      <c r="C130" s="28" t="s">
        <v>248</v>
      </c>
      <c r="D130" s="28"/>
      <c r="E130" s="154">
        <v>5.0979993906773637E-2</v>
      </c>
      <c r="F130" s="154">
        <v>5.1554748549009433E-2</v>
      </c>
      <c r="G130" s="154">
        <v>4.9505327970414986E-2</v>
      </c>
      <c r="H130" s="154">
        <v>5.0371042656558646E-2</v>
      </c>
      <c r="I130" s="154">
        <v>5.1457523952019454E-2</v>
      </c>
      <c r="J130" s="147">
        <v>0.05</v>
      </c>
      <c r="K130" s="147">
        <v>4.9000000000000002E-2</v>
      </c>
      <c r="L130" s="147">
        <v>4.9000000000000002E-2</v>
      </c>
      <c r="M130" s="147">
        <v>4.8000000000000001E-2</v>
      </c>
      <c r="N130" s="147">
        <v>4.8000000000000001E-2</v>
      </c>
      <c r="O130" s="147">
        <f>N130</f>
        <v>4.8000000000000001E-2</v>
      </c>
      <c r="P130" s="147">
        <f t="shared" ref="P130:S130" si="12">O130</f>
        <v>4.8000000000000001E-2</v>
      </c>
      <c r="Q130" s="147">
        <f t="shared" si="12"/>
        <v>4.8000000000000001E-2</v>
      </c>
      <c r="R130" s="147">
        <f t="shared" si="12"/>
        <v>4.8000000000000001E-2</v>
      </c>
      <c r="S130" s="147">
        <f t="shared" si="12"/>
        <v>4.8000000000000001E-2</v>
      </c>
    </row>
    <row r="131" spans="2:19" outlineLevel="1">
      <c r="C131" s="28" t="s">
        <v>249</v>
      </c>
      <c r="D131" s="28"/>
      <c r="E131" s="154">
        <v>2.6911749771504009E-2</v>
      </c>
      <c r="F131" s="154">
        <v>2.5409898079396472E-2</v>
      </c>
      <c r="G131" s="154">
        <v>2.8927352789797744E-2</v>
      </c>
      <c r="H131" s="154">
        <v>3.2966739629491218E-2</v>
      </c>
      <c r="I131" s="154">
        <v>3.1530803954739825E-2</v>
      </c>
      <c r="J131" s="147">
        <v>3.1E-2</v>
      </c>
      <c r="K131" s="147">
        <v>0.03</v>
      </c>
      <c r="L131" s="147">
        <v>2.9000000000000001E-2</v>
      </c>
      <c r="M131" s="147">
        <v>2.9000000000000001E-2</v>
      </c>
      <c r="N131" s="147">
        <v>2.9000000000000001E-2</v>
      </c>
      <c r="O131" s="147">
        <f>N131</f>
        <v>2.9000000000000001E-2</v>
      </c>
      <c r="P131" s="147">
        <f t="shared" ref="P131:S131" si="13">O131</f>
        <v>2.9000000000000001E-2</v>
      </c>
      <c r="Q131" s="147">
        <f t="shared" si="13"/>
        <v>2.9000000000000001E-2</v>
      </c>
      <c r="R131" s="147">
        <f t="shared" si="13"/>
        <v>2.9000000000000001E-2</v>
      </c>
      <c r="S131" s="147">
        <f t="shared" si="13"/>
        <v>2.9000000000000001E-2</v>
      </c>
    </row>
    <row r="132" spans="2:19" outlineLevel="1">
      <c r="C132" s="28" t="s">
        <v>250</v>
      </c>
      <c r="D132" s="28"/>
      <c r="E132" s="154">
        <v>3.5315324464303847E-2</v>
      </c>
      <c r="F132" s="154">
        <v>2.5874647384974546E-2</v>
      </c>
      <c r="G132" s="154">
        <v>1.750891172153491E-2</v>
      </c>
      <c r="H132" s="154">
        <v>4.1215097965938814E-2</v>
      </c>
      <c r="I132" s="154">
        <v>3.4438200814411173E-2</v>
      </c>
      <c r="J132" s="147">
        <v>3.5999999999999997E-2</v>
      </c>
      <c r="K132" s="147">
        <v>3.5000000000000003E-2</v>
      </c>
      <c r="L132" s="147">
        <v>3.5000000000000003E-2</v>
      </c>
      <c r="M132" s="147">
        <v>3.4000000000000002E-2</v>
      </c>
      <c r="N132" s="147">
        <v>3.4000000000000002E-2</v>
      </c>
      <c r="O132" s="147">
        <f>N132</f>
        <v>3.4000000000000002E-2</v>
      </c>
      <c r="P132" s="147">
        <f t="shared" ref="P132:S132" si="14">O132</f>
        <v>3.4000000000000002E-2</v>
      </c>
      <c r="Q132" s="147">
        <f t="shared" si="14"/>
        <v>3.4000000000000002E-2</v>
      </c>
      <c r="R132" s="147">
        <f t="shared" si="14"/>
        <v>3.4000000000000002E-2</v>
      </c>
      <c r="S132" s="147">
        <f t="shared" si="14"/>
        <v>3.4000000000000002E-2</v>
      </c>
    </row>
    <row r="133" spans="2:19" outlineLevel="1">
      <c r="C133" s="28"/>
      <c r="D133" s="28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outlineLevel="1">
      <c r="B134" t="s">
        <v>0</v>
      </c>
      <c r="C134" s="42" t="s">
        <v>91</v>
      </c>
      <c r="D134" s="42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</row>
    <row r="135" spans="2:19" outlineLevel="1">
      <c r="C135" t="s">
        <v>90</v>
      </c>
      <c r="D135" s="28"/>
      <c r="E135" s="117">
        <v>120.1</v>
      </c>
      <c r="F135" s="117">
        <v>157.30000000000001</v>
      </c>
      <c r="G135" s="117">
        <v>238</v>
      </c>
      <c r="H135" s="117">
        <v>256.8</v>
      </c>
      <c r="I135" s="117">
        <v>331.1</v>
      </c>
      <c r="J135" s="30">
        <f>J136*'3-Statement Model'!J24+33.75</f>
        <v>373.20623181544397</v>
      </c>
      <c r="K135" s="30">
        <f>K136*'3-Statement Model'!K24+33.75</f>
        <v>391.09438297718964</v>
      </c>
      <c r="L135" s="30">
        <f>L136*'3-Statement Model'!L24+33.75</f>
        <v>414.94089164279575</v>
      </c>
      <c r="M135" s="30">
        <f>M136*'3-Statement Model'!M24+33.75</f>
        <v>438.18770380714238</v>
      </c>
      <c r="N135" s="30">
        <f>N136*'3-Statement Model'!N24</f>
        <v>426.73182647489728</v>
      </c>
      <c r="O135" s="30">
        <f>O136*'3-Statement Model'!O24</f>
        <v>447.9477976065412</v>
      </c>
      <c r="P135" s="30">
        <f>P136*'3-Statement Model'!P24</f>
        <v>417.11740239770972</v>
      </c>
      <c r="Q135" s="30">
        <f>Q136*'3-Statement Model'!Q24</f>
        <v>380.69213490545229</v>
      </c>
      <c r="R135" s="30">
        <f>R136*'3-Statement Model'!R24</f>
        <v>339.0260025934752</v>
      </c>
      <c r="S135" s="30">
        <f>S136*'3-Statement Model'!S24</f>
        <v>292.60158194766382</v>
      </c>
    </row>
    <row r="136" spans="2:19" outlineLevel="1">
      <c r="C136" s="74" t="s">
        <v>5</v>
      </c>
      <c r="D136" s="28"/>
      <c r="E136" s="21">
        <f>E135/'3-Statement Model'!E24</f>
        <v>1.5245760129988828E-2</v>
      </c>
      <c r="F136" s="21">
        <f>F135/'3-Statement Model'!F24</f>
        <v>1.7001178085449022E-2</v>
      </c>
      <c r="G136" s="21">
        <f>G135/'3-Statement Model'!G24</f>
        <v>2.2684382088869401E-2</v>
      </c>
      <c r="H136" s="21">
        <f>H135/'3-Statement Model'!H24</f>
        <v>2.2849821152100797E-2</v>
      </c>
      <c r="I136" s="21">
        <f>I135/'3-Statement Model'!I24</f>
        <v>2.8147342112198319E-2</v>
      </c>
      <c r="J136" s="147">
        <v>0.03</v>
      </c>
      <c r="K136" s="147">
        <v>0.03</v>
      </c>
      <c r="L136" s="147">
        <v>0.03</v>
      </c>
      <c r="M136" s="147">
        <v>0.03</v>
      </c>
      <c r="N136" s="147">
        <v>0.03</v>
      </c>
      <c r="O136" s="147">
        <v>0.03</v>
      </c>
      <c r="P136" s="147">
        <f>O136-($O$136-$S$136)/($S$116-$O$116)</f>
        <v>2.6749999999999999E-2</v>
      </c>
      <c r="Q136" s="147">
        <f>P136-($O$136-$S$136)/($S$116-$O$116)</f>
        <v>2.35E-2</v>
      </c>
      <c r="R136" s="147">
        <f>Q136-($O$136-$S$136)/($S$116-$O$116)</f>
        <v>2.0250000000000001E-2</v>
      </c>
      <c r="S136" s="147">
        <v>1.7000000000000001E-2</v>
      </c>
    </row>
    <row r="137" spans="2:19" outlineLevel="1">
      <c r="C137" t="s">
        <v>93</v>
      </c>
      <c r="D137" s="28"/>
      <c r="E137" s="117">
        <v>72.400000000000006</v>
      </c>
      <c r="F137" s="117">
        <v>75.7</v>
      </c>
      <c r="G137" s="117">
        <v>104.5</v>
      </c>
      <c r="H137" s="117">
        <v>120</v>
      </c>
      <c r="I137" s="117">
        <v>134.30000000000001</v>
      </c>
      <c r="J137" s="30">
        <f>J138*'3-Statement Model'!J24</f>
        <v>125.00218286292552</v>
      </c>
      <c r="K137" s="30">
        <f>K138*'3-Statement Model'!K24</f>
        <v>131.58935886096666</v>
      </c>
      <c r="L137" s="30">
        <f>L138*'3-Statement Model'!L24</f>
        <v>140.3706548204442</v>
      </c>
      <c r="M137" s="30">
        <f>M138*'3-Statement Model'!M24</f>
        <v>148.93111709154968</v>
      </c>
      <c r="N137" s="30">
        <f>N138*'3-Statement Model'!N24</f>
        <v>149.91649118854033</v>
      </c>
      <c r="O137" s="30">
        <f>O138*'3-Statement Model'!O24</f>
        <v>149.7865014388255</v>
      </c>
      <c r="P137" s="30">
        <f>P138*'3-Statement Model'!P24</f>
        <v>148.50371620836074</v>
      </c>
      <c r="Q137" s="30">
        <f>Q138*'3-Statement Model'!Q24</f>
        <v>146.05225392233825</v>
      </c>
      <c r="R137" s="30">
        <f>R138*'3-Statement Model'!R24</f>
        <v>142.43911712086722</v>
      </c>
      <c r="S137" s="30">
        <f>S138*'3-Statement Model'!S24</f>
        <v>137.69486209301826</v>
      </c>
    </row>
    <row r="138" spans="2:19" outlineLevel="1">
      <c r="C138" s="74" t="s">
        <v>5</v>
      </c>
      <c r="D138" s="28"/>
      <c r="E138" s="21">
        <f>E137/'3-Statement Model'!E24</f>
        <v>9.1906164314004262E-3</v>
      </c>
      <c r="F138" s="21">
        <f>F137/'3-Statement Model'!F24</f>
        <v>8.1817494028511815E-3</v>
      </c>
      <c r="G138" s="21">
        <f>G137/'3-Statement Model'!G24</f>
        <v>9.9601593625498006E-3</v>
      </c>
      <c r="H138" s="21">
        <f>H137/'3-Statement Model'!H24</f>
        <v>1.0677486519673268E-2</v>
      </c>
      <c r="I138" s="21">
        <f>I137/'3-Statement Model'!I24</f>
        <v>1.1417058428475488E-2</v>
      </c>
      <c r="J138" s="147">
        <f>AVERAGE($H$138:$I$138)</f>
        <v>1.1047272474074377E-2</v>
      </c>
      <c r="K138" s="147">
        <f t="shared" ref="K138:M138" si="15">AVERAGE($H$138:$I$138)</f>
        <v>1.1047272474074377E-2</v>
      </c>
      <c r="L138" s="147">
        <f t="shared" si="15"/>
        <v>1.1047272474074377E-2</v>
      </c>
      <c r="M138" s="147">
        <f t="shared" si="15"/>
        <v>1.1047272474074377E-2</v>
      </c>
      <c r="N138" s="147">
        <f>M138-($M138-$S138)/($S$116-$M$116)</f>
        <v>1.0539393728395314E-2</v>
      </c>
      <c r="O138" s="147">
        <f>N138-($M138-$S138)/($S$116-$M$116)</f>
        <v>1.003151498271625E-2</v>
      </c>
      <c r="P138" s="147">
        <f>O138-($M138-$S138)/($S$116-$M$116)</f>
        <v>9.523636237037187E-3</v>
      </c>
      <c r="Q138" s="147">
        <f>P138-($M138-$S138)/($S$116-$M$116)</f>
        <v>9.0157574913581236E-3</v>
      </c>
      <c r="R138" s="147">
        <f>Q138-($M138-$S138)/($S$116-$M$116)</f>
        <v>8.5078787456790601E-3</v>
      </c>
      <c r="S138" s="147">
        <v>8.0000000000000002E-3</v>
      </c>
    </row>
    <row r="139" spans="2:19" outlineLevel="1">
      <c r="C139" t="s">
        <v>95</v>
      </c>
      <c r="D139" s="28"/>
      <c r="E139" s="117">
        <v>11.6</v>
      </c>
      <c r="F139" s="117">
        <v>13.5</v>
      </c>
      <c r="G139" s="117">
        <v>28</v>
      </c>
      <c r="H139" s="117">
        <v>23.1</v>
      </c>
      <c r="I139" s="117">
        <v>27.9</v>
      </c>
      <c r="J139" s="30">
        <f>J140*'3-Statement Model'!J24</f>
        <v>25.047569614085607</v>
      </c>
      <c r="K139" s="30">
        <f>K140*'3-Statement Model'!K24</f>
        <v>26.36748855943792</v>
      </c>
      <c r="L139" s="30">
        <f>L140*'3-Statement Model'!L24</f>
        <v>28.127058807007874</v>
      </c>
      <c r="M139" s="30">
        <f>M140*'3-Statement Model'!M24</f>
        <v>29.842379049850308</v>
      </c>
      <c r="N139" s="30">
        <f>N140*'3-Statement Model'!N24</f>
        <v>31.487402876689796</v>
      </c>
      <c r="O139" s="30">
        <f>O140*'3-Statement Model'!O24</f>
        <v>33.052872778385989</v>
      </c>
      <c r="P139" s="30">
        <f>P140*'3-Statement Model'!P24</f>
        <v>34.517360946261853</v>
      </c>
      <c r="Q139" s="30">
        <f>Q140*'3-Statement Model'!Q24</f>
        <v>35.859902397617724</v>
      </c>
      <c r="R139" s="30">
        <f>R140*'3-Statement Model'!R24</f>
        <v>37.060480218854984</v>
      </c>
      <c r="S139" s="30">
        <f>S140*'3-Statement Model'!S24</f>
        <v>38.100511794977585</v>
      </c>
    </row>
    <row r="140" spans="2:19" outlineLevel="1">
      <c r="C140" s="7" t="s">
        <v>5</v>
      </c>
      <c r="D140" s="28"/>
      <c r="E140" s="21">
        <f>E139/'3-Statement Model'!E24</f>
        <v>1.4725297044785213E-3</v>
      </c>
      <c r="F140" s="21">
        <f>F139/'3-Statement Model'!F24</f>
        <v>1.4590966570474366E-3</v>
      </c>
      <c r="G140" s="21">
        <f>G139/'3-Statement Model'!G24</f>
        <v>2.6687508339846354E-3</v>
      </c>
      <c r="H140" s="21">
        <f>H139/'3-Statement Model'!H24</f>
        <v>2.0554161550371043E-3</v>
      </c>
      <c r="I140" s="21">
        <f>I139/'3-Statement Model'!I24</f>
        <v>2.3718237539424132E-3</v>
      </c>
      <c r="J140" s="147">
        <f>AVERAGE($H$140:$I$140)</f>
        <v>2.2136199544897589E-3</v>
      </c>
      <c r="K140" s="147">
        <f t="shared" ref="K140:S140" si="16">AVERAGE($H$140:$I$140)</f>
        <v>2.2136199544897589E-3</v>
      </c>
      <c r="L140" s="147">
        <f t="shared" si="16"/>
        <v>2.2136199544897589E-3</v>
      </c>
      <c r="M140" s="147">
        <f t="shared" si="16"/>
        <v>2.2136199544897589E-3</v>
      </c>
      <c r="N140" s="147">
        <f t="shared" si="16"/>
        <v>2.2136199544897589E-3</v>
      </c>
      <c r="O140" s="147">
        <f t="shared" si="16"/>
        <v>2.2136199544897589E-3</v>
      </c>
      <c r="P140" s="147">
        <f t="shared" si="16"/>
        <v>2.2136199544897589E-3</v>
      </c>
      <c r="Q140" s="147">
        <f t="shared" si="16"/>
        <v>2.2136199544897589E-3</v>
      </c>
      <c r="R140" s="147">
        <f t="shared" si="16"/>
        <v>2.2136199544897589E-3</v>
      </c>
      <c r="S140" s="147">
        <f t="shared" si="16"/>
        <v>2.2136199544897589E-3</v>
      </c>
    </row>
    <row r="141" spans="2:19" outlineLevel="1">
      <c r="C141" s="28"/>
      <c r="D141" s="28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outlineLevel="1">
      <c r="C142" s="42" t="s">
        <v>273</v>
      </c>
      <c r="D142" s="63"/>
      <c r="E142" s="64"/>
      <c r="F142" s="64"/>
      <c r="G142" s="64"/>
      <c r="H142" s="64"/>
      <c r="I142" s="64"/>
      <c r="J142" s="107"/>
      <c r="K142" s="107"/>
      <c r="L142" s="107"/>
      <c r="M142" s="64"/>
      <c r="N142" s="64"/>
      <c r="O142" s="64"/>
      <c r="P142" s="64"/>
      <c r="Q142" s="64"/>
      <c r="R142" s="64"/>
      <c r="S142" s="64"/>
    </row>
    <row r="143" spans="2:19" outlineLevel="1">
      <c r="C143" s="28" t="s">
        <v>274</v>
      </c>
      <c r="D143" s="28"/>
      <c r="E143" s="20"/>
      <c r="F143" s="20"/>
      <c r="G143" s="20"/>
      <c r="H143" s="20"/>
      <c r="I143" s="20"/>
      <c r="J143" s="147">
        <v>1.078713094337377E-2</v>
      </c>
      <c r="K143" s="147">
        <v>1.4009359777609642E-2</v>
      </c>
      <c r="L143" s="147">
        <v>1.4009359777609642E-2</v>
      </c>
      <c r="M143" s="147">
        <v>1.4009359777609642E-2</v>
      </c>
      <c r="N143" s="147">
        <v>1.4009359777609642E-2</v>
      </c>
      <c r="O143" s="147">
        <v>1.2E-2</v>
      </c>
      <c r="P143" s="147">
        <v>0.01</v>
      </c>
      <c r="Q143" s="147">
        <v>7.0000000000000001E-3</v>
      </c>
      <c r="R143" s="147">
        <v>3.0000000000000001E-3</v>
      </c>
      <c r="S143" s="147">
        <v>0</v>
      </c>
    </row>
    <row r="144" spans="2:19" outlineLevel="1">
      <c r="C144" s="28" t="s">
        <v>255</v>
      </c>
      <c r="D144" s="28"/>
      <c r="E144" s="20"/>
      <c r="F144" s="20"/>
      <c r="G144" s="20"/>
      <c r="H144" s="20"/>
      <c r="I144" s="20"/>
      <c r="J144" s="30">
        <f>J143*'3-Statement Model'!I24</f>
        <v>126.89009999999999</v>
      </c>
      <c r="K144" s="30">
        <f>K143*'3-Statement Model'!J24</f>
        <v>158.51881600847386</v>
      </c>
      <c r="L144" s="30">
        <f>L143*'3-Statement Model'!K24</f>
        <v>166.87220085451256</v>
      </c>
      <c r="M144" s="30">
        <f>M143*'3-Statement Model'!L24</f>
        <v>178.00801149905794</v>
      </c>
      <c r="N144" s="30">
        <f>N143*'3-Statement Model'!M24</f>
        <v>188.86377667548609</v>
      </c>
      <c r="O144" s="30">
        <f>O143*'3-Statement Model'!N24</f>
        <v>170.69273058995893</v>
      </c>
      <c r="P144" s="30">
        <f>P143*'3-Statement Model'!O24</f>
        <v>149.31593253551375</v>
      </c>
      <c r="Q144" s="30">
        <f>Q143*'3-Statement Model'!P24</f>
        <v>109.15221744986796</v>
      </c>
      <c r="R144" s="30">
        <f>R143*'3-Statement Model'!Q24</f>
        <v>48.598995945376892</v>
      </c>
      <c r="S144" s="30">
        <f>S143*'3-Statement Model'!R24</f>
        <v>0</v>
      </c>
    </row>
    <row r="145" spans="2:19" outlineLevel="1">
      <c r="C145" s="28" t="s">
        <v>256</v>
      </c>
      <c r="D145" s="28"/>
      <c r="E145" s="20"/>
      <c r="F145" s="20"/>
      <c r="G145" s="20"/>
      <c r="H145" s="20"/>
      <c r="I145" s="20"/>
      <c r="J145" s="89">
        <v>2</v>
      </c>
      <c r="K145" s="89">
        <v>2</v>
      </c>
      <c r="L145" s="89">
        <v>2</v>
      </c>
      <c r="M145" s="89">
        <v>2</v>
      </c>
      <c r="N145" s="89">
        <v>2</v>
      </c>
      <c r="O145" s="89">
        <v>2</v>
      </c>
      <c r="P145" s="89">
        <v>2</v>
      </c>
      <c r="Q145" s="89">
        <v>2</v>
      </c>
      <c r="R145" s="89">
        <v>2</v>
      </c>
      <c r="S145" s="89">
        <v>2</v>
      </c>
    </row>
    <row r="146" spans="2:19" outlineLevel="1">
      <c r="C146" s="28" t="s">
        <v>273</v>
      </c>
      <c r="D146" s="28"/>
      <c r="E146" s="20"/>
      <c r="F146" s="20"/>
      <c r="G146" s="20"/>
      <c r="H146" s="20"/>
      <c r="I146" s="20"/>
      <c r="J146" s="30">
        <f>J144*J145</f>
        <v>253.78019999999998</v>
      </c>
      <c r="K146" s="30">
        <f t="shared" ref="K146:M146" si="17">K144*K145</f>
        <v>317.03763201694773</v>
      </c>
      <c r="L146" s="30">
        <f t="shared" si="17"/>
        <v>333.74440170902511</v>
      </c>
      <c r="M146" s="30">
        <f t="shared" si="17"/>
        <v>356.01602299811589</v>
      </c>
      <c r="N146" s="30">
        <f t="shared" ref="N146" si="18">N144*N145</f>
        <v>377.72755335097219</v>
      </c>
      <c r="O146" s="30">
        <f t="shared" ref="O146" si="19">O144*O145</f>
        <v>341.38546117991785</v>
      </c>
      <c r="P146" s="30">
        <f t="shared" ref="P146" si="20">P144*P145</f>
        <v>298.63186507102751</v>
      </c>
      <c r="Q146" s="30">
        <f t="shared" ref="Q146" si="21">Q144*Q145</f>
        <v>218.30443489973592</v>
      </c>
      <c r="R146" s="30">
        <f t="shared" ref="R146" si="22">R144*R145</f>
        <v>97.197991890753784</v>
      </c>
      <c r="S146" s="30">
        <f t="shared" ref="S146" si="23">S144*S145</f>
        <v>0</v>
      </c>
    </row>
    <row r="147" spans="2:19" outlineLevel="1">
      <c r="C147" s="28"/>
      <c r="D147" s="28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outlineLevel="1">
      <c r="B148" t="s">
        <v>0</v>
      </c>
      <c r="C148" s="42" t="s">
        <v>257</v>
      </c>
      <c r="D148" s="63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</row>
    <row r="149" spans="2:19" outlineLevel="1">
      <c r="C149" t="s">
        <v>29</v>
      </c>
      <c r="D149" s="28"/>
      <c r="E149" s="19">
        <v>5.5</v>
      </c>
      <c r="F149" s="19">
        <v>11.5</v>
      </c>
      <c r="G149" s="19">
        <v>19</v>
      </c>
      <c r="H149" s="19">
        <v>30.9</v>
      </c>
      <c r="I149" s="19">
        <v>26.6</v>
      </c>
      <c r="J149" s="30">
        <f>J150*'3-Statement Model'!I111</f>
        <v>14.626968292491904</v>
      </c>
      <c r="K149" s="30">
        <f>K150*'3-Statement Model'!J111</f>
        <v>20.415725712432195</v>
      </c>
      <c r="L149" s="30">
        <f>L150*'3-Statement Model'!K111</f>
        <v>27.410596486257667</v>
      </c>
      <c r="M149" s="30">
        <f>M150*'3-Statement Model'!L111</f>
        <v>34.655265280445256</v>
      </c>
      <c r="N149" s="30">
        <f>N150*'3-Statement Model'!M111</f>
        <v>42.21281646748497</v>
      </c>
      <c r="O149" s="30">
        <f>O150*'3-Statement Model'!N111</f>
        <v>49.497181318030187</v>
      </c>
      <c r="P149" s="30">
        <f>P150*'3-Statement Model'!O111</f>
        <v>57.94580303082499</v>
      </c>
      <c r="Q149" s="30">
        <f>Q150*'3-Statement Model'!P111</f>
        <v>68.360128607307104</v>
      </c>
      <c r="R149" s="30">
        <f>R150*'3-Statement Model'!Q111</f>
        <v>81.500982349802811</v>
      </c>
      <c r="S149" s="30">
        <f>S150*'3-Statement Model'!R111</f>
        <v>97.553833608422508</v>
      </c>
    </row>
    <row r="150" spans="2:19" outlineLevel="1">
      <c r="C150" s="74" t="s">
        <v>258</v>
      </c>
      <c r="D150" s="28"/>
      <c r="E150" s="73"/>
      <c r="F150" s="157">
        <f>F149/'3-Statement Model'!E111</f>
        <v>8.7207097899446428E-3</v>
      </c>
      <c r="G150" s="157">
        <f>G149/'3-Statement Model'!F111</f>
        <v>1.6170212765957447E-2</v>
      </c>
      <c r="H150" s="157">
        <f>H149/'3-Statement Model'!G111</f>
        <v>1.6494955426253136E-2</v>
      </c>
      <c r="I150" s="157">
        <f>I149/'3-Statement Model'!H111</f>
        <v>4.1310762540767203E-2</v>
      </c>
      <c r="J150" s="147">
        <f>AVERAGE($F$150:$I$150)</f>
        <v>2.0674160130730607E-2</v>
      </c>
      <c r="K150" s="147">
        <f t="shared" ref="K150:S150" si="24">AVERAGE($F$150:$I$150)</f>
        <v>2.0674160130730607E-2</v>
      </c>
      <c r="L150" s="147">
        <f t="shared" si="24"/>
        <v>2.0674160130730607E-2</v>
      </c>
      <c r="M150" s="147">
        <f t="shared" si="24"/>
        <v>2.0674160130730607E-2</v>
      </c>
      <c r="N150" s="147">
        <f t="shared" si="24"/>
        <v>2.0674160130730607E-2</v>
      </c>
      <c r="O150" s="147">
        <f t="shared" si="24"/>
        <v>2.0674160130730607E-2</v>
      </c>
      <c r="P150" s="147">
        <f t="shared" si="24"/>
        <v>2.0674160130730607E-2</v>
      </c>
      <c r="Q150" s="147">
        <f t="shared" si="24"/>
        <v>2.0674160130730607E-2</v>
      </c>
      <c r="R150" s="147">
        <f t="shared" si="24"/>
        <v>2.0674160130730607E-2</v>
      </c>
      <c r="S150" s="147">
        <f t="shared" si="24"/>
        <v>2.0674160130730607E-2</v>
      </c>
    </row>
    <row r="151" spans="2:19" outlineLevel="1">
      <c r="C151" s="74"/>
      <c r="D151" s="28"/>
      <c r="E151" s="104"/>
      <c r="F151" s="104"/>
      <c r="G151" s="104"/>
      <c r="H151" s="104"/>
      <c r="I151" s="104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outlineLevel="1">
      <c r="C152" t="s">
        <v>30</v>
      </c>
      <c r="D152" s="28"/>
      <c r="E152" s="19">
        <v>6</v>
      </c>
      <c r="F152" s="19">
        <v>7</v>
      </c>
      <c r="G152" s="19">
        <v>6.9</v>
      </c>
      <c r="H152" s="19">
        <v>7.3</v>
      </c>
      <c r="I152" s="19">
        <v>7.3</v>
      </c>
      <c r="J152" s="47">
        <f>AVERAGE($E$152:$I$152)</f>
        <v>6.9</v>
      </c>
      <c r="K152" s="47">
        <f t="shared" ref="K152:S152" si="25">AVERAGE($E$152:$I$152)</f>
        <v>6.9</v>
      </c>
      <c r="L152" s="47">
        <f t="shared" si="25"/>
        <v>6.9</v>
      </c>
      <c r="M152" s="47">
        <f t="shared" si="25"/>
        <v>6.9</v>
      </c>
      <c r="N152" s="47">
        <f t="shared" si="25"/>
        <v>6.9</v>
      </c>
      <c r="O152" s="47">
        <f t="shared" si="25"/>
        <v>6.9</v>
      </c>
      <c r="P152" s="47">
        <f t="shared" si="25"/>
        <v>6.9</v>
      </c>
      <c r="Q152" s="47">
        <f t="shared" si="25"/>
        <v>6.9</v>
      </c>
      <c r="R152" s="47">
        <f t="shared" si="25"/>
        <v>6.9</v>
      </c>
      <c r="S152" s="47">
        <f t="shared" si="25"/>
        <v>6.9</v>
      </c>
    </row>
    <row r="153" spans="2:19" outlineLevel="1">
      <c r="C153" t="s">
        <v>31</v>
      </c>
      <c r="D153" s="28"/>
      <c r="E153" s="19">
        <v>24.7</v>
      </c>
      <c r="F153" s="19">
        <v>17.8</v>
      </c>
      <c r="G153" s="19">
        <v>48.4</v>
      </c>
      <c r="H153" s="19">
        <v>86.3</v>
      </c>
      <c r="I153" s="19">
        <v>2.5</v>
      </c>
      <c r="J153" s="47">
        <f>AVERAGE($E$153:$G$153,$I$153)</f>
        <v>23.35</v>
      </c>
      <c r="K153" s="47">
        <f t="shared" ref="K153:S153" si="26">AVERAGE($E$153:$G$153,$I$153)</f>
        <v>23.35</v>
      </c>
      <c r="L153" s="47">
        <f t="shared" si="26"/>
        <v>23.35</v>
      </c>
      <c r="M153" s="47">
        <f t="shared" si="26"/>
        <v>23.35</v>
      </c>
      <c r="N153" s="47">
        <f t="shared" si="26"/>
        <v>23.35</v>
      </c>
      <c r="O153" s="47">
        <f t="shared" si="26"/>
        <v>23.35</v>
      </c>
      <c r="P153" s="47">
        <f t="shared" si="26"/>
        <v>23.35</v>
      </c>
      <c r="Q153" s="47">
        <f t="shared" si="26"/>
        <v>23.35</v>
      </c>
      <c r="R153" s="47">
        <f t="shared" si="26"/>
        <v>23.35</v>
      </c>
      <c r="S153" s="47">
        <f t="shared" si="26"/>
        <v>23.35</v>
      </c>
    </row>
    <row r="154" spans="2:19" outlineLevel="1">
      <c r="D154" s="28"/>
      <c r="E154" s="19"/>
      <c r="F154" s="19"/>
      <c r="G154" s="19"/>
      <c r="H154" s="19"/>
      <c r="I154" s="19"/>
      <c r="J154" s="30"/>
      <c r="K154" s="30"/>
      <c r="L154" s="30"/>
      <c r="M154" s="30"/>
      <c r="N154" s="30"/>
      <c r="O154" s="30"/>
      <c r="P154" s="30"/>
      <c r="Q154" s="30"/>
      <c r="R154" s="30"/>
      <c r="S154" s="30"/>
    </row>
    <row r="155" spans="2:19" outlineLevel="1">
      <c r="C155" t="s">
        <v>32</v>
      </c>
      <c r="D155" s="28"/>
      <c r="E155" s="19">
        <v>0.5</v>
      </c>
      <c r="F155" s="19">
        <v>0.4</v>
      </c>
      <c r="G155" s="19">
        <v>0.4</v>
      </c>
      <c r="H155" s="19">
        <v>1.1000000000000001</v>
      </c>
      <c r="I155" s="19">
        <v>3.6</v>
      </c>
      <c r="J155" s="47">
        <f>$I$155</f>
        <v>3.6</v>
      </c>
      <c r="K155" s="47">
        <f t="shared" ref="K155:S155" si="27">$I$155</f>
        <v>3.6</v>
      </c>
      <c r="L155" s="47">
        <f t="shared" si="27"/>
        <v>3.6</v>
      </c>
      <c r="M155" s="47">
        <f t="shared" si="27"/>
        <v>3.6</v>
      </c>
      <c r="N155" s="47">
        <f t="shared" si="27"/>
        <v>3.6</v>
      </c>
      <c r="O155" s="47">
        <f t="shared" si="27"/>
        <v>3.6</v>
      </c>
      <c r="P155" s="47">
        <f t="shared" si="27"/>
        <v>3.6</v>
      </c>
      <c r="Q155" s="47">
        <f t="shared" si="27"/>
        <v>3.6</v>
      </c>
      <c r="R155" s="47">
        <f t="shared" si="27"/>
        <v>3.6</v>
      </c>
      <c r="S155" s="47">
        <f t="shared" si="27"/>
        <v>3.6</v>
      </c>
    </row>
    <row r="156" spans="2:19" outlineLevel="1">
      <c r="C156" s="7" t="s">
        <v>259</v>
      </c>
      <c r="D156" s="28"/>
      <c r="E156" s="157">
        <f>E155/'3-Statement Model'!E121</f>
        <v>0.2</v>
      </c>
      <c r="F156" s="157">
        <f>F155/'3-Statement Model'!F121</f>
        <v>4.3478260869565223E-2</v>
      </c>
      <c r="G156" s="157">
        <f>G155/'3-Statement Model'!G121</f>
        <v>4.2105263157894736E-2</v>
      </c>
      <c r="H156" s="157">
        <f>H155/'3-Statement Model'!H121</f>
        <v>5.7591623036649213E-2</v>
      </c>
      <c r="I156" s="157">
        <f>I155/'3-Statement Model'!I121</f>
        <v>0.14937759336099585</v>
      </c>
      <c r="J156" s="21">
        <f>J155/'3-Statement Model'!J121</f>
        <v>0.14937759336099585</v>
      </c>
      <c r="K156" s="21">
        <f>K155/'3-Statement Model'!K121</f>
        <v>0.14937759336099585</v>
      </c>
      <c r="L156" s="21">
        <f>L155/'3-Statement Model'!L121</f>
        <v>0.14937759336099585</v>
      </c>
      <c r="M156" s="21">
        <f>M155/'3-Statement Model'!M121</f>
        <v>0.14937759336099585</v>
      </c>
      <c r="N156" s="21">
        <f>N155/'3-Statement Model'!N121</f>
        <v>0.14937759336099585</v>
      </c>
      <c r="O156" s="21">
        <f>O155/'3-Statement Model'!O121</f>
        <v>0.14937759336099585</v>
      </c>
      <c r="P156" s="21">
        <f>P155/'3-Statement Model'!P121</f>
        <v>0.14937759336099585</v>
      </c>
      <c r="Q156" s="21">
        <f>Q155/'3-Statement Model'!Q121</f>
        <v>0.14937759336099585</v>
      </c>
      <c r="R156" s="21">
        <f>R155/'3-Statement Model'!R121</f>
        <v>0.14937759336099585</v>
      </c>
      <c r="S156" s="21">
        <f>S155/'3-Statement Model'!S121</f>
        <v>0.14937759336099585</v>
      </c>
    </row>
    <row r="157" spans="2:19" outlineLevel="1">
      <c r="C157" s="28"/>
      <c r="D157" s="28"/>
      <c r="E157" s="20"/>
      <c r="F157" s="20"/>
      <c r="G157" s="20"/>
      <c r="H157" s="20"/>
      <c r="I157" s="20"/>
      <c r="J157" s="46"/>
      <c r="K157" s="46"/>
      <c r="L157" s="46"/>
      <c r="M157" s="46"/>
      <c r="N157" s="46"/>
      <c r="O157" s="46"/>
      <c r="P157" s="46"/>
      <c r="Q157" s="46"/>
      <c r="R157" s="46"/>
      <c r="S157" s="46"/>
    </row>
    <row r="158" spans="2:19" outlineLevel="1">
      <c r="B158" t="s">
        <v>0</v>
      </c>
      <c r="C158" s="42" t="s">
        <v>34</v>
      </c>
      <c r="D158" s="42"/>
      <c r="E158" s="43"/>
      <c r="F158" s="43"/>
      <c r="G158" s="43"/>
      <c r="H158" s="43"/>
      <c r="I158" s="43"/>
      <c r="J158" s="45"/>
      <c r="K158" s="45"/>
      <c r="L158" s="45"/>
      <c r="M158" s="45"/>
      <c r="N158" s="45"/>
      <c r="O158" s="45"/>
      <c r="P158" s="45"/>
      <c r="Q158" s="45"/>
      <c r="R158" s="45"/>
      <c r="S158" s="45"/>
    </row>
    <row r="159" spans="2:19" outlineLevel="1">
      <c r="C159" s="28" t="s">
        <v>260</v>
      </c>
      <c r="D159" s="28"/>
      <c r="E159" s="154">
        <v>0.22187647336162175</v>
      </c>
      <c r="F159" s="154">
        <v>0.21822742474916373</v>
      </c>
      <c r="G159" s="154">
        <v>0.22406888265919084</v>
      </c>
      <c r="H159" s="154">
        <v>0.20487877880873986</v>
      </c>
      <c r="I159" s="154">
        <v>0.20179142674344236</v>
      </c>
      <c r="J159" s="147">
        <f>$I$159</f>
        <v>0.20179142674344236</v>
      </c>
      <c r="K159" s="147">
        <f t="shared" ref="K159:S159" si="28">$I$159</f>
        <v>0.20179142674344236</v>
      </c>
      <c r="L159" s="147">
        <f t="shared" si="28"/>
        <v>0.20179142674344236</v>
      </c>
      <c r="M159" s="147">
        <f t="shared" si="28"/>
        <v>0.20179142674344236</v>
      </c>
      <c r="N159" s="147">
        <f t="shared" si="28"/>
        <v>0.20179142674344236</v>
      </c>
      <c r="O159" s="147">
        <f t="shared" si="28"/>
        <v>0.20179142674344236</v>
      </c>
      <c r="P159" s="147">
        <f t="shared" si="28"/>
        <v>0.20179142674344236</v>
      </c>
      <c r="Q159" s="147">
        <f t="shared" si="28"/>
        <v>0.20179142674344236</v>
      </c>
      <c r="R159" s="147">
        <f t="shared" si="28"/>
        <v>0.20179142674344236</v>
      </c>
      <c r="S159" s="147">
        <f t="shared" si="28"/>
        <v>0.20179142674344236</v>
      </c>
    </row>
    <row r="160" spans="2:19" outlineLevel="1"/>
    <row r="161" spans="2:19" outlineLevel="1">
      <c r="B161" t="s">
        <v>0</v>
      </c>
      <c r="C161" s="42" t="s">
        <v>275</v>
      </c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</row>
    <row r="162" spans="2:19" outlineLevel="1">
      <c r="C162" t="s">
        <v>275</v>
      </c>
      <c r="E162" s="154">
        <v>0</v>
      </c>
      <c r="F162" s="154">
        <v>0</v>
      </c>
      <c r="G162" s="154">
        <v>0</v>
      </c>
      <c r="H162" s="154">
        <v>9.1648425960528894E-4</v>
      </c>
      <c r="I162" s="154">
        <v>0</v>
      </c>
      <c r="J162" s="147">
        <v>0</v>
      </c>
      <c r="K162" s="147">
        <v>0</v>
      </c>
      <c r="L162" s="147">
        <v>0</v>
      </c>
      <c r="M162" s="147">
        <v>0</v>
      </c>
      <c r="N162" s="147">
        <v>0</v>
      </c>
      <c r="O162" s="147">
        <v>0</v>
      </c>
      <c r="P162" s="147">
        <v>0</v>
      </c>
      <c r="Q162" s="147">
        <v>0</v>
      </c>
      <c r="R162" s="147">
        <v>0</v>
      </c>
      <c r="S162" s="147">
        <v>0</v>
      </c>
    </row>
    <row r="163" spans="2:19" outlineLevel="1">
      <c r="E163" s="72"/>
      <c r="F163" s="72"/>
      <c r="G163" s="72"/>
      <c r="H163" s="72"/>
      <c r="I163" s="72"/>
      <c r="J163" s="20"/>
      <c r="K163" s="20"/>
      <c r="L163" s="20"/>
      <c r="M163" s="20"/>
      <c r="N163" s="20"/>
      <c r="O163" s="20"/>
      <c r="P163" s="20"/>
      <c r="Q163" s="20"/>
      <c r="R163" s="20"/>
      <c r="S163" s="20"/>
    </row>
    <row r="164" spans="2:19" outlineLevel="1">
      <c r="C164" s="39" t="s">
        <v>36</v>
      </c>
      <c r="D164" s="54"/>
      <c r="E164" s="78"/>
      <c r="F164" s="78"/>
      <c r="G164" s="78"/>
      <c r="H164" s="78"/>
      <c r="I164" s="78"/>
      <c r="J164" s="64"/>
      <c r="K164" s="64"/>
      <c r="L164" s="64"/>
      <c r="M164" s="64"/>
      <c r="N164" s="64"/>
      <c r="O164" s="64"/>
      <c r="P164" s="64"/>
      <c r="Q164" s="64"/>
      <c r="R164" s="64"/>
      <c r="S164" s="64"/>
    </row>
    <row r="165" spans="2:19" outlineLevel="1">
      <c r="C165" s="58" t="s">
        <v>262</v>
      </c>
      <c r="E165" s="145">
        <v>0.6</v>
      </c>
      <c r="F165" s="145">
        <v>0.6</v>
      </c>
      <c r="G165" s="145">
        <v>0</v>
      </c>
      <c r="H165" s="145">
        <v>0.6</v>
      </c>
      <c r="I165" s="145">
        <v>2.1</v>
      </c>
      <c r="J165" s="30">
        <f>J166*'3-Statement Model'!J24</f>
        <v>2.0933134295285711</v>
      </c>
      <c r="K165" s="30">
        <f>K166*'3-Statement Model'!K24</f>
        <v>2.263181092188868</v>
      </c>
      <c r="L165" s="30">
        <f>L166*'3-Statement Model'!L24</f>
        <v>2.4777407956781725</v>
      </c>
      <c r="M165" s="30">
        <f>M166*'3-Statement Model'!M24</f>
        <v>2.6962513587142833</v>
      </c>
      <c r="N165" s="30">
        <f>N166*'3-Statement Model'!N24</f>
        <v>2.9160008142451326</v>
      </c>
      <c r="O165" s="30">
        <f>O166*'3-Statement Model'!O24</f>
        <v>3.1356345832457895</v>
      </c>
      <c r="P165" s="30">
        <f>P166*'3-Statement Model'!P24</f>
        <v>3.3525323931030884</v>
      </c>
      <c r="Q165" s="30">
        <f>Q166*'3-Statement Model'!Q24</f>
        <v>3.56392636932764</v>
      </c>
      <c r="R165" s="30">
        <f>R166*'3-Statement Model'!R24</f>
        <v>3.766955584371948</v>
      </c>
      <c r="S165" s="30">
        <f>S166*'3-Statement Model'!S24</f>
        <v>3.9587272851742767</v>
      </c>
    </row>
    <row r="166" spans="2:19" outlineLevel="1">
      <c r="C166" s="56" t="s">
        <v>5</v>
      </c>
      <c r="E166" s="20">
        <f>E165/'3-Statement Model'!E24</f>
        <v>7.6165329541992476E-5</v>
      </c>
      <c r="F166" s="20">
        <f>F165/'3-Statement Model'!F24</f>
        <v>6.4848740313219405E-5</v>
      </c>
      <c r="G166" s="20">
        <f>G165/'3-Statement Model'!G24</f>
        <v>0</v>
      </c>
      <c r="H166" s="20">
        <f>H165/'3-Statement Model'!H24</f>
        <v>5.3387432598366338E-5</v>
      </c>
      <c r="I166" s="20">
        <f>I165/'3-Statement Model'!I24</f>
        <v>1.7852436857631069E-4</v>
      </c>
      <c r="J166" s="40">
        <v>1.85E-4</v>
      </c>
      <c r="K166" s="40">
        <f>J166+0.0005%</f>
        <v>1.9000000000000001E-4</v>
      </c>
      <c r="L166" s="40">
        <f t="shared" ref="L166:S166" si="29">K166+0.0005%</f>
        <v>1.9500000000000002E-4</v>
      </c>
      <c r="M166" s="40">
        <f t="shared" si="29"/>
        <v>2.0000000000000004E-4</v>
      </c>
      <c r="N166" s="40">
        <f t="shared" si="29"/>
        <v>2.0500000000000005E-4</v>
      </c>
      <c r="O166" s="40">
        <f t="shared" si="29"/>
        <v>2.1000000000000006E-4</v>
      </c>
      <c r="P166" s="40">
        <f t="shared" si="29"/>
        <v>2.1500000000000008E-4</v>
      </c>
      <c r="Q166" s="40">
        <f t="shared" si="29"/>
        <v>2.2000000000000009E-4</v>
      </c>
      <c r="R166" s="40">
        <f t="shared" si="29"/>
        <v>2.250000000000001E-4</v>
      </c>
      <c r="S166" s="40">
        <f t="shared" si="29"/>
        <v>2.3000000000000012E-4</v>
      </c>
    </row>
    <row r="167" spans="2:19" outlineLevel="1">
      <c r="E167" s="72"/>
      <c r="F167" s="72"/>
      <c r="G167" s="72"/>
      <c r="H167" s="72"/>
      <c r="I167" s="72"/>
      <c r="J167" s="20"/>
      <c r="K167" s="20"/>
      <c r="L167" s="20"/>
      <c r="M167" s="20"/>
      <c r="N167" s="20"/>
      <c r="O167" s="20"/>
      <c r="P167" s="20"/>
      <c r="Q167" s="20"/>
      <c r="R167" s="20"/>
      <c r="S167" s="20"/>
    </row>
    <row r="168" spans="2:19" outlineLevel="1">
      <c r="C168" s="39" t="s">
        <v>263</v>
      </c>
      <c r="D168" s="54"/>
      <c r="E168" s="78"/>
      <c r="F168" s="78"/>
      <c r="G168" s="78"/>
      <c r="H168" s="78"/>
      <c r="I168" s="78"/>
      <c r="J168" s="64"/>
      <c r="K168" s="64"/>
      <c r="L168" s="64"/>
      <c r="M168" s="64"/>
      <c r="N168" s="64"/>
      <c r="O168" s="64"/>
      <c r="P168" s="64"/>
      <c r="Q168" s="64"/>
      <c r="R168" s="64"/>
      <c r="S168" s="64"/>
    </row>
    <row r="169" spans="2:19" outlineLevel="1">
      <c r="E169" s="72"/>
      <c r="F169" s="72"/>
      <c r="G169" s="72"/>
      <c r="H169" s="72"/>
      <c r="I169" s="72"/>
      <c r="J169" s="20"/>
      <c r="K169" s="20"/>
      <c r="L169" s="20"/>
      <c r="M169" s="20"/>
      <c r="N169" s="20"/>
      <c r="O169" s="20"/>
      <c r="P169" s="20"/>
      <c r="Q169" s="20"/>
      <c r="R169" s="20"/>
      <c r="S169" s="20"/>
    </row>
    <row r="170" spans="2:19" outlineLevel="1">
      <c r="C170" t="s">
        <v>43</v>
      </c>
      <c r="E170" s="146">
        <v>1361.8</v>
      </c>
      <c r="F170" s="146">
        <v>1576.8</v>
      </c>
      <c r="G170" s="146">
        <v>1719.6</v>
      </c>
      <c r="H170" s="146">
        <v>2009.2</v>
      </c>
      <c r="I170" s="146">
        <v>2175</v>
      </c>
      <c r="J170" s="115">
        <f>J171*'3-Statement Model'!J$24/'3-Statement Model'!J$107</f>
        <v>2139.0392689740306</v>
      </c>
      <c r="K170" s="115">
        <f>K171*'3-Statement Model'!K24/'3-Statement Model'!K107</f>
        <v>2186.4907451572335</v>
      </c>
      <c r="L170" s="115">
        <f>L171*'3-Statement Model'!L24/'3-Statement Model'!L107</f>
        <v>2259.8619536400356</v>
      </c>
      <c r="M170" s="115">
        <f>M171*'3-Statement Model'!M24/'3-Statement Model'!M107</f>
        <v>2397.6789568932304</v>
      </c>
      <c r="N170" s="115">
        <f>N171*'3-Statement Model'!N24/'3-Statement Model'!N107</f>
        <v>2529.8480110632195</v>
      </c>
      <c r="O170" s="115">
        <f>O171*'3-Statement Model'!O24/'3-Statement Model'!O107</f>
        <v>2655.6253237458518</v>
      </c>
      <c r="P170" s="115">
        <f>P171*'3-Statement Model'!P24/'3-Statement Model'!P107</f>
        <v>2773.289282670491</v>
      </c>
      <c r="Q170" s="115">
        <f>Q171*'3-Statement Model'!Q24/'3-Statement Model'!Q107</f>
        <v>2881.1554612112736</v>
      </c>
      <c r="R170" s="115">
        <f>R171*'3-Statement Model'!R24/'3-Statement Model'!R107</f>
        <v>2977.6156051322641</v>
      </c>
      <c r="S170" s="115">
        <f>S171*'3-Statement Model'!S24/'3-Statement Model'!S107</f>
        <v>3061.1766985828936</v>
      </c>
    </row>
    <row r="171" spans="2:19" outlineLevel="1">
      <c r="C171" s="7" t="s">
        <v>161</v>
      </c>
      <c r="E171" s="158"/>
      <c r="F171" s="158">
        <f>((F170+E170)/2)/'3-Statement Model'!F$24*'3-Statement Model'!F$107</f>
        <v>57.963371269846405</v>
      </c>
      <c r="G171" s="158">
        <f>((G170+F170)/2)/'3-Statement Model'!G$24*'3-Statement Model'!G$107</f>
        <v>57.339350731047091</v>
      </c>
      <c r="H171" s="158">
        <f>((H170+G170)/2)/'3-Statement Model'!H$24*'3-Statement Model'!H$107</f>
        <v>60.550780346306482</v>
      </c>
      <c r="I171" s="158">
        <f>((I170+H170)/2)/'3-Statement Model'!I$24*'3-Statement Model'!I$107</f>
        <v>64.916263569977303</v>
      </c>
      <c r="J171" s="159">
        <v>69</v>
      </c>
      <c r="K171" s="159">
        <v>67</v>
      </c>
      <c r="L171" s="159">
        <f>$I$171</f>
        <v>64.916263569977303</v>
      </c>
      <c r="M171" s="159">
        <f t="shared" ref="M171:S171" si="30">$I$171</f>
        <v>64.916263569977303</v>
      </c>
      <c r="N171" s="159">
        <f t="shared" si="30"/>
        <v>64.916263569977303</v>
      </c>
      <c r="O171" s="159">
        <f t="shared" si="30"/>
        <v>64.916263569977303</v>
      </c>
      <c r="P171" s="159">
        <f t="shared" si="30"/>
        <v>64.916263569977303</v>
      </c>
      <c r="Q171" s="159">
        <f t="shared" si="30"/>
        <v>64.916263569977303</v>
      </c>
      <c r="R171" s="159">
        <f t="shared" si="30"/>
        <v>64.916263569977303</v>
      </c>
      <c r="S171" s="159">
        <f t="shared" si="30"/>
        <v>64.916263569977303</v>
      </c>
    </row>
    <row r="172" spans="2:19" outlineLevel="1">
      <c r="E172" s="146"/>
      <c r="F172" s="146"/>
      <c r="G172" s="146"/>
      <c r="H172" s="146"/>
      <c r="I172" s="146"/>
      <c r="J172" s="20"/>
      <c r="K172" s="20"/>
      <c r="L172" s="20"/>
      <c r="M172" s="20"/>
      <c r="N172" s="20"/>
      <c r="O172" s="20"/>
      <c r="P172" s="20"/>
      <c r="Q172" s="20"/>
      <c r="R172" s="20"/>
      <c r="S172" s="20"/>
    </row>
    <row r="173" spans="2:19" outlineLevel="1">
      <c r="C173" t="s">
        <v>44</v>
      </c>
      <c r="E173" s="146">
        <v>814</v>
      </c>
      <c r="F173" s="146">
        <v>1158.3</v>
      </c>
      <c r="G173" s="146">
        <v>1212.8</v>
      </c>
      <c r="H173" s="146">
        <v>1240.7</v>
      </c>
      <c r="I173" s="146">
        <v>1348.9</v>
      </c>
      <c r="J173" s="115">
        <f>J174*'3-Statement Model'!J29/'3-Statement Model'!J107</f>
        <v>1395.0256102004548</v>
      </c>
      <c r="K173" s="115">
        <f>K174*'3-Statement Model'!K29/'3-Statement Model'!K107</f>
        <v>1395.1116321712202</v>
      </c>
      <c r="L173" s="115">
        <f>L174*'3-Statement Model'!L29/'3-Statement Model'!L107</f>
        <v>1384.5803327946699</v>
      </c>
      <c r="M173" s="115">
        <f>M174*'3-Statement Model'!M29/'3-Statement Model'!M107</f>
        <v>1469.0185489970863</v>
      </c>
      <c r="N173" s="115">
        <f>N174*'3-Statement Model'!N29/'3-Statement Model'!N107</f>
        <v>1549.9963594837307</v>
      </c>
      <c r="O173" s="115">
        <f>O174*'3-Statement Model'!O29/'3-Statement Model'!O107</f>
        <v>1627.0580548548267</v>
      </c>
      <c r="P173" s="115">
        <f>P174*'3-Statement Model'!P29/'3-Statement Model'!P107</f>
        <v>1699.1488315252345</v>
      </c>
      <c r="Q173" s="115">
        <f>Q174*'3-Statement Model'!Q29/'3-Statement Model'!Q107</f>
        <v>1765.2366689441194</v>
      </c>
      <c r="R173" s="115">
        <f>R174*'3-Statement Model'!R29/'3-Statement Model'!R107</f>
        <v>1824.336216133903</v>
      </c>
      <c r="S173" s="115">
        <f>S174*'3-Statement Model'!S29/'3-Statement Model'!S107</f>
        <v>1875.532726784566</v>
      </c>
    </row>
    <row r="174" spans="2:19" outlineLevel="1">
      <c r="C174" s="7" t="s">
        <v>162</v>
      </c>
      <c r="E174" s="158"/>
      <c r="F174" s="158">
        <f>((F173+E173)/2)/'3-Statement Model'!F$29*'3-Statement Model'!F$107</f>
        <v>80.68700963909437</v>
      </c>
      <c r="G174" s="158">
        <f>((G173+F173)/2)/'3-Statement Model'!G$29*'3-Statement Model'!G$107</f>
        <v>81.461925828313255</v>
      </c>
      <c r="H174" s="158">
        <f>((H173+G173)/2)/'3-Statement Model'!H$29*'3-Statement Model'!H$107</f>
        <v>85.880499827381172</v>
      </c>
      <c r="I174" s="158">
        <f>((I173+H173)/2)/'3-Statement Model'!I$29*'3-Statement Model'!I$107</f>
        <v>88.384731910755363</v>
      </c>
      <c r="J174" s="159">
        <v>100</v>
      </c>
      <c r="K174" s="159">
        <v>95</v>
      </c>
      <c r="L174" s="159">
        <f>$I$174</f>
        <v>88.384731910755363</v>
      </c>
      <c r="M174" s="159">
        <f t="shared" ref="M174:S174" si="31">$I$174</f>
        <v>88.384731910755363</v>
      </c>
      <c r="N174" s="159">
        <f t="shared" si="31"/>
        <v>88.384731910755363</v>
      </c>
      <c r="O174" s="159">
        <f t="shared" si="31"/>
        <v>88.384731910755363</v>
      </c>
      <c r="P174" s="159">
        <f t="shared" si="31"/>
        <v>88.384731910755363</v>
      </c>
      <c r="Q174" s="159">
        <f t="shared" si="31"/>
        <v>88.384731910755363</v>
      </c>
      <c r="R174" s="159">
        <f t="shared" si="31"/>
        <v>88.384731910755363</v>
      </c>
      <c r="S174" s="159">
        <f t="shared" si="31"/>
        <v>88.384731910755363</v>
      </c>
    </row>
    <row r="175" spans="2:19" outlineLevel="1">
      <c r="E175" s="146"/>
      <c r="F175" s="146"/>
      <c r="G175" s="146"/>
      <c r="H175" s="146"/>
      <c r="I175" s="146"/>
      <c r="J175" s="20"/>
      <c r="K175" s="20"/>
      <c r="L175" s="20"/>
      <c r="M175" s="20"/>
      <c r="N175" s="20"/>
      <c r="O175" s="20"/>
      <c r="P175" s="20"/>
      <c r="Q175" s="20"/>
      <c r="R175" s="20"/>
      <c r="S175" s="20"/>
    </row>
    <row r="176" spans="2:19" outlineLevel="1">
      <c r="C176" t="s">
        <v>45</v>
      </c>
      <c r="E176" s="146">
        <v>120.7</v>
      </c>
      <c r="F176" s="146">
        <v>190.4</v>
      </c>
      <c r="G176" s="146">
        <v>190.1</v>
      </c>
      <c r="H176" s="146">
        <v>243.8</v>
      </c>
      <c r="I176" s="146">
        <v>273.5</v>
      </c>
      <c r="J176" s="115">
        <f>J177*'3-Statement Model'!J24</f>
        <v>248.80163210679893</v>
      </c>
      <c r="K176" s="115">
        <f>K177*'3-Statement Model'!K24</f>
        <v>261.91260426545756</v>
      </c>
      <c r="L176" s="115">
        <f>L177*'3-Statement Model'!L24</f>
        <v>279.39070518091637</v>
      </c>
      <c r="M176" s="115">
        <f>M177*'3-Statement Model'!M24</f>
        <v>296.42926351533578</v>
      </c>
      <c r="N176" s="115">
        <f>N177*'3-Statement Model'!N24</f>
        <v>312.76955597796558</v>
      </c>
      <c r="O176" s="115">
        <f>O177*'3-Statement Model'!O24</f>
        <v>328.31962620661761</v>
      </c>
      <c r="P176" s="115">
        <f>P177*'3-Statement Model'!P24</f>
        <v>342.86662825042902</v>
      </c>
      <c r="Q176" s="115">
        <f>Q177*'3-Statement Model'!Q24</f>
        <v>356.20231348515654</v>
      </c>
      <c r="R176" s="115">
        <f>R177*'3-Statement Model'!R24</f>
        <v>368.12785061300133</v>
      </c>
      <c r="S176" s="115">
        <f>S177*'3-Statement Model'!S24</f>
        <v>378.45865546028654</v>
      </c>
    </row>
    <row r="177" spans="2:19" outlineLevel="1">
      <c r="C177" s="7" t="s">
        <v>112</v>
      </c>
      <c r="D177" s="7"/>
      <c r="E177" s="112"/>
      <c r="F177" s="112">
        <f>((F176+E176)/2)/'3-Statement Model'!F24</f>
        <v>1.6812035926202132E-2</v>
      </c>
      <c r="G177" s="112">
        <f>((G176+F176)/2)/'3-Statement Model'!G24</f>
        <v>1.8133208791627744E-2</v>
      </c>
      <c r="H177" s="112">
        <f>((H176+G176)/2)/'3-Statement Model'!H24</f>
        <v>1.9304005837025962E-2</v>
      </c>
      <c r="I177" s="112">
        <f>((I176+H176)/2)/'3-Statement Model'!I24</f>
        <v>2.1988251396315599E-2</v>
      </c>
      <c r="J177" s="147">
        <f>$I$177</f>
        <v>2.1988251396315599E-2</v>
      </c>
      <c r="K177" s="147">
        <f t="shared" ref="K177:S177" si="32">$I$177</f>
        <v>2.1988251396315599E-2</v>
      </c>
      <c r="L177" s="147">
        <f t="shared" si="32"/>
        <v>2.1988251396315599E-2</v>
      </c>
      <c r="M177" s="147">
        <f t="shared" si="32"/>
        <v>2.1988251396315599E-2</v>
      </c>
      <c r="N177" s="147">
        <f t="shared" si="32"/>
        <v>2.1988251396315599E-2</v>
      </c>
      <c r="O177" s="147">
        <f t="shared" si="32"/>
        <v>2.1988251396315599E-2</v>
      </c>
      <c r="P177" s="147">
        <f t="shared" si="32"/>
        <v>2.1988251396315599E-2</v>
      </c>
      <c r="Q177" s="147">
        <f t="shared" si="32"/>
        <v>2.1988251396315599E-2</v>
      </c>
      <c r="R177" s="147">
        <f t="shared" si="32"/>
        <v>2.1988251396315599E-2</v>
      </c>
      <c r="S177" s="147">
        <f t="shared" si="32"/>
        <v>2.1988251396315599E-2</v>
      </c>
    </row>
    <row r="178" spans="2:19" outlineLevel="1">
      <c r="E178" s="146"/>
      <c r="F178" s="146"/>
      <c r="G178" s="146"/>
      <c r="H178" s="146"/>
      <c r="I178" s="146"/>
      <c r="J178" s="20"/>
      <c r="K178" s="20"/>
      <c r="L178" s="20"/>
      <c r="M178" s="20"/>
      <c r="N178" s="20"/>
      <c r="O178" s="20"/>
      <c r="P178" s="20"/>
      <c r="Q178" s="20"/>
      <c r="R178" s="20"/>
      <c r="S178" s="20"/>
    </row>
    <row r="179" spans="2:19" outlineLevel="1">
      <c r="C179" t="s">
        <v>163</v>
      </c>
      <c r="E179" s="146">
        <v>846.3</v>
      </c>
      <c r="F179" s="146">
        <v>1033.2</v>
      </c>
      <c r="G179" s="146">
        <v>1016.6</v>
      </c>
      <c r="H179" s="146">
        <v>1108.2</v>
      </c>
      <c r="I179" s="146">
        <v>1212.3</v>
      </c>
      <c r="J179" s="115">
        <f>J180*'3-Statement Model'!J29/'3-Statement Model'!J$107</f>
        <v>1116.020488160364</v>
      </c>
      <c r="K179" s="115">
        <f>K180*'3-Statement Model'!K29/'3-Statement Model'!K$107</f>
        <v>1163.0850938339033</v>
      </c>
      <c r="L179" s="115">
        <f>L180*'3-Statement Model'!L29/'3-Statement Model'!L$107</f>
        <v>1240.7007500193199</v>
      </c>
      <c r="M179" s="115">
        <f>M180*'3-Statement Model'!M29/'3-Statement Model'!M$107</f>
        <v>1316.3645130320276</v>
      </c>
      <c r="N179" s="115">
        <f>N180*'3-Statement Model'!N29/'3-Statement Model'!N$107</f>
        <v>1388.9274606819572</v>
      </c>
      <c r="O179" s="115">
        <f>O180*'3-Statement Model'!O29/'3-Statement Model'!O$107</f>
        <v>1457.981238913587</v>
      </c>
      <c r="P179" s="115">
        <f>P180*'3-Statement Model'!P29/'3-Statement Model'!P$107</f>
        <v>1522.5806547552927</v>
      </c>
      <c r="Q179" s="115">
        <f>Q180*'3-Statement Model'!Q29/'3-Statement Model'!Q$107</f>
        <v>1581.800930755649</v>
      </c>
      <c r="R179" s="115">
        <f>R180*'3-Statement Model'!R29/'3-Statement Model'!R$107</f>
        <v>1634.7591093368558</v>
      </c>
      <c r="S179" s="115">
        <f>S180*'3-Statement Model'!S29/'3-Statement Model'!S$107</f>
        <v>1680.6355006578563</v>
      </c>
    </row>
    <row r="180" spans="2:19" outlineLevel="1">
      <c r="C180" s="7" t="s">
        <v>164</v>
      </c>
      <c r="E180" s="176"/>
      <c r="F180" s="176">
        <f>((F179+E179)/2)/'3-Statement Model'!F29*'3-Statement Model'!F107</f>
        <v>76.890551445864162</v>
      </c>
      <c r="G180" s="176">
        <f>((G179+F179)/2)/'3-Statement Model'!G29*'3-Statement Model'!G107</f>
        <v>70.423286897590373</v>
      </c>
      <c r="H180" s="176">
        <f>((H179+G179)/2)/'3-Statement Model'!H29*'3-Statement Model'!H107</f>
        <v>74.374928075491965</v>
      </c>
      <c r="I180" s="176">
        <f>((I179+H179)/2)/'3-Statement Model'!I29*'3-Statement Model'!I107</f>
        <v>79.200173926053367</v>
      </c>
      <c r="J180" s="159">
        <v>80</v>
      </c>
      <c r="K180" s="159">
        <f>$I$180</f>
        <v>79.200173926053367</v>
      </c>
      <c r="L180" s="159">
        <f t="shared" ref="L180:S180" si="33">$I$180</f>
        <v>79.200173926053367</v>
      </c>
      <c r="M180" s="159">
        <f t="shared" si="33"/>
        <v>79.200173926053367</v>
      </c>
      <c r="N180" s="159">
        <f t="shared" si="33"/>
        <v>79.200173926053367</v>
      </c>
      <c r="O180" s="159">
        <f t="shared" si="33"/>
        <v>79.200173926053367</v>
      </c>
      <c r="P180" s="159">
        <f t="shared" si="33"/>
        <v>79.200173926053367</v>
      </c>
      <c r="Q180" s="159">
        <f t="shared" si="33"/>
        <v>79.200173926053367</v>
      </c>
      <c r="R180" s="159">
        <f t="shared" si="33"/>
        <v>79.200173926053367</v>
      </c>
      <c r="S180" s="159">
        <f t="shared" si="33"/>
        <v>79.200173926053367</v>
      </c>
    </row>
    <row r="181" spans="2:19" outlineLevel="1">
      <c r="E181" s="146"/>
      <c r="F181" s="146"/>
      <c r="G181" s="146"/>
      <c r="H181" s="146"/>
      <c r="I181" s="146"/>
      <c r="J181" s="20"/>
      <c r="K181" s="20"/>
      <c r="L181" s="20"/>
      <c r="M181" s="20"/>
      <c r="N181" s="20"/>
      <c r="O181" s="20"/>
      <c r="P181" s="20"/>
      <c r="Q181" s="20"/>
      <c r="R181" s="20"/>
      <c r="S181" s="20"/>
    </row>
    <row r="182" spans="2:19" outlineLevel="1">
      <c r="C182" t="s">
        <v>57</v>
      </c>
      <c r="E182" s="146">
        <v>454</v>
      </c>
      <c r="F182" s="146">
        <v>519.9</v>
      </c>
      <c r="G182" s="146">
        <v>489</v>
      </c>
      <c r="H182" s="146">
        <v>678.2</v>
      </c>
      <c r="I182" s="146">
        <v>623.9</v>
      </c>
      <c r="J182" s="115">
        <f>J183*'3-Statement Model'!J24</f>
        <v>626.26059378747902</v>
      </c>
      <c r="K182" s="115">
        <f>K183*'3-Statement Model'!K24</f>
        <v>659.26232749671817</v>
      </c>
      <c r="L182" s="115">
        <f>L183*'3-Statement Model'!L24</f>
        <v>703.25659620350132</v>
      </c>
      <c r="M182" s="115">
        <f>M183*'3-Statement Model'!M24</f>
        <v>746.14448873635945</v>
      </c>
      <c r="N182" s="115">
        <f>N183*'3-Statement Model'!N24</f>
        <v>787.27477061455431</v>
      </c>
      <c r="O182" s="115">
        <f>O183*'3-Statement Model'!O24</f>
        <v>826.41597773755416</v>
      </c>
      <c r="P182" s="115">
        <f>P183*'3-Statement Model'!P24</f>
        <v>863.03235384667232</v>
      </c>
      <c r="Q182" s="115">
        <f>Q183*'3-Statement Model'!Q24</f>
        <v>896.59971465111596</v>
      </c>
      <c r="R182" s="115">
        <f>R183*'3-Statement Model'!R24</f>
        <v>926.61758028839938</v>
      </c>
      <c r="S182" s="115">
        <f>S183*'3-Statement Model'!S24</f>
        <v>952.62133244701158</v>
      </c>
    </row>
    <row r="183" spans="2:19" outlineLevel="1">
      <c r="C183" s="7" t="s">
        <v>112</v>
      </c>
      <c r="D183" s="7"/>
      <c r="E183" s="112"/>
      <c r="F183" s="112">
        <f>((F182+E182)/2)/'3-Statement Model'!F24</f>
        <v>5.2630156825870314E-2</v>
      </c>
      <c r="G183" s="112">
        <f>((G182+F182)/2)/'3-Statement Model'!G24</f>
        <v>4.8080405650126758E-2</v>
      </c>
      <c r="H183" s="112">
        <f>((H182+G182)/2)/'3-Statement Model'!H24</f>
        <v>5.1928176107344334E-2</v>
      </c>
      <c r="I183" s="112">
        <f>((I182+H182)/2)/'3-Statement Model'!I24</f>
        <v>5.5346804838860508E-2</v>
      </c>
      <c r="J183" s="147">
        <f>$I$183</f>
        <v>5.5346804838860508E-2</v>
      </c>
      <c r="K183" s="147">
        <f t="shared" ref="K183:S183" si="34">$I$183</f>
        <v>5.5346804838860508E-2</v>
      </c>
      <c r="L183" s="147">
        <f t="shared" si="34"/>
        <v>5.5346804838860508E-2</v>
      </c>
      <c r="M183" s="147">
        <f t="shared" si="34"/>
        <v>5.5346804838860508E-2</v>
      </c>
      <c r="N183" s="147">
        <f t="shared" si="34"/>
        <v>5.5346804838860508E-2</v>
      </c>
      <c r="O183" s="147">
        <f t="shared" si="34"/>
        <v>5.5346804838860508E-2</v>
      </c>
      <c r="P183" s="147">
        <f t="shared" si="34"/>
        <v>5.5346804838860508E-2</v>
      </c>
      <c r="Q183" s="147">
        <f t="shared" si="34"/>
        <v>5.5346804838860508E-2</v>
      </c>
      <c r="R183" s="147">
        <f t="shared" si="34"/>
        <v>5.5346804838860508E-2</v>
      </c>
      <c r="S183" s="147">
        <f t="shared" si="34"/>
        <v>5.5346804838860508E-2</v>
      </c>
    </row>
    <row r="184" spans="2:19" outlineLevel="1">
      <c r="C184" s="7"/>
      <c r="E184" s="146"/>
      <c r="F184" s="146"/>
      <c r="G184" s="146"/>
      <c r="H184" s="146"/>
      <c r="I184" s="146"/>
      <c r="J184" s="20"/>
      <c r="K184" s="20"/>
      <c r="L184" s="20"/>
      <c r="M184" s="20"/>
      <c r="N184" s="20"/>
      <c r="O184" s="20"/>
      <c r="P184" s="20"/>
      <c r="Q184" s="20"/>
      <c r="R184" s="20"/>
      <c r="S184" s="20"/>
    </row>
    <row r="185" spans="2:19" outlineLevel="1">
      <c r="C185" t="s">
        <v>60</v>
      </c>
      <c r="E185" s="146">
        <v>26.8</v>
      </c>
      <c r="F185" s="146">
        <v>26</v>
      </c>
      <c r="G185" s="146">
        <v>26.9</v>
      </c>
      <c r="H185" s="146">
        <v>46.3</v>
      </c>
      <c r="I185" s="146">
        <v>44.1</v>
      </c>
      <c r="J185" s="115">
        <f>J186*'3-Statement Model'!J24</f>
        <v>43.4789629662761</v>
      </c>
      <c r="K185" s="115">
        <f>K186*'3-Statement Model'!K24</f>
        <v>45.770151605639604</v>
      </c>
      <c r="L185" s="115">
        <f>L186*'3-Statement Model'!L24</f>
        <v>48.824511402193785</v>
      </c>
      <c r="M185" s="115">
        <f>M186*'3-Statement Model'!M24</f>
        <v>51.802059582034332</v>
      </c>
      <c r="N185" s="115">
        <f>N186*'3-Statement Model'!N24</f>
        <v>54.657583337344072</v>
      </c>
      <c r="O185" s="115">
        <f>O186*'3-Statement Model'!O24</f>
        <v>57.375012969414719</v>
      </c>
      <c r="P185" s="115">
        <f>P186*'3-Statement Model'!P24</f>
        <v>59.917152897426611</v>
      </c>
      <c r="Q185" s="115">
        <f>Q186*'3-Statement Model'!Q24</f>
        <v>62.247610939605941</v>
      </c>
      <c r="R185" s="115">
        <f>R186*'3-Statement Model'!R24</f>
        <v>64.331640625198773</v>
      </c>
      <c r="S185" s="115">
        <f>S186*'3-Statement Model'!S24</f>
        <v>66.136985218654374</v>
      </c>
    </row>
    <row r="186" spans="2:19" outlineLevel="1">
      <c r="C186" s="7" t="s">
        <v>112</v>
      </c>
      <c r="D186" s="7"/>
      <c r="E186" s="112"/>
      <c r="F186" s="112">
        <f>((F185+E185)/2)/'3-Statement Model'!F24</f>
        <v>2.853344573781654E-3</v>
      </c>
      <c r="G186" s="112">
        <f>((G185+F185)/2)/'3-Statement Model'!G24</f>
        <v>2.5210164128176287E-3</v>
      </c>
      <c r="H186" s="112">
        <f>((H185+G185)/2)/'3-Statement Model'!H24</f>
        <v>3.2566333885003466E-3</v>
      </c>
      <c r="I186" s="112">
        <f>((I185+H185)/2)/'3-Statement Model'!I24</f>
        <v>3.842524504594878E-3</v>
      </c>
      <c r="J186" s="147">
        <f>$I$186</f>
        <v>3.842524504594878E-3</v>
      </c>
      <c r="K186" s="147">
        <f t="shared" ref="K186:S186" si="35">$I$186</f>
        <v>3.842524504594878E-3</v>
      </c>
      <c r="L186" s="147">
        <f t="shared" si="35"/>
        <v>3.842524504594878E-3</v>
      </c>
      <c r="M186" s="147">
        <f t="shared" si="35"/>
        <v>3.842524504594878E-3</v>
      </c>
      <c r="N186" s="147">
        <f t="shared" si="35"/>
        <v>3.842524504594878E-3</v>
      </c>
      <c r="O186" s="147">
        <f t="shared" si="35"/>
        <v>3.842524504594878E-3</v>
      </c>
      <c r="P186" s="147">
        <f t="shared" si="35"/>
        <v>3.842524504594878E-3</v>
      </c>
      <c r="Q186" s="147">
        <f t="shared" si="35"/>
        <v>3.842524504594878E-3</v>
      </c>
      <c r="R186" s="147">
        <f t="shared" si="35"/>
        <v>3.842524504594878E-3</v>
      </c>
      <c r="S186" s="147">
        <f t="shared" si="35"/>
        <v>3.842524504594878E-3</v>
      </c>
    </row>
    <row r="187" spans="2:19" outlineLevel="1">
      <c r="E187" s="72"/>
      <c r="F187" s="72"/>
      <c r="G187" s="72"/>
      <c r="H187" s="72"/>
      <c r="I187" s="72"/>
      <c r="J187" s="20"/>
      <c r="K187" s="20"/>
      <c r="L187" s="20"/>
      <c r="M187" s="20"/>
      <c r="N187" s="20"/>
      <c r="O187" s="20"/>
      <c r="P187" s="20"/>
      <c r="Q187" s="20"/>
      <c r="R187" s="20"/>
      <c r="S187" s="20"/>
    </row>
    <row r="188" spans="2:19" outlineLevel="1">
      <c r="B188" t="s">
        <v>0</v>
      </c>
      <c r="C188" s="39" t="s">
        <v>264</v>
      </c>
      <c r="D188" s="54"/>
      <c r="E188" s="78"/>
      <c r="F188" s="78"/>
      <c r="G188" s="78"/>
      <c r="H188" s="78"/>
      <c r="I188" s="78"/>
      <c r="J188" s="64"/>
      <c r="K188" s="64"/>
      <c r="L188" s="64"/>
      <c r="M188" s="64"/>
      <c r="N188" s="64"/>
      <c r="O188" s="64"/>
      <c r="P188" s="64"/>
      <c r="Q188" s="64"/>
      <c r="R188" s="64"/>
      <c r="S188" s="64"/>
    </row>
    <row r="189" spans="2:19" outlineLevel="1">
      <c r="C189" t="s">
        <v>84</v>
      </c>
      <c r="E189" s="117">
        <v>326</v>
      </c>
      <c r="F189" s="117">
        <v>354.5</v>
      </c>
      <c r="G189" s="117">
        <v>445.8</v>
      </c>
      <c r="H189" s="117">
        <v>492.3</v>
      </c>
      <c r="I189" s="117">
        <v>264.7</v>
      </c>
      <c r="J189" s="30">
        <f>J190*'3-Statement Model'!J98</f>
        <v>524.71999413794913</v>
      </c>
      <c r="K189" s="30">
        <f>K190*'3-Statement Model'!K98</f>
        <v>634.98679970537228</v>
      </c>
      <c r="L189" s="30">
        <f>L190*'3-Statement Model'!L98</f>
        <v>756.19139053631829</v>
      </c>
      <c r="M189" s="30">
        <f>M190*'3-Statement Model'!M98</f>
        <v>880.60311527296619</v>
      </c>
      <c r="N189" s="30">
        <f>N190*'3-Statement Model'!N98</f>
        <v>1010.9724936184747</v>
      </c>
      <c r="O189" s="30">
        <f>O190*'3-Statement Model'!O98</f>
        <v>1108.7030850100948</v>
      </c>
      <c r="P189" s="30">
        <f>P190*'3-Statement Model'!P98</f>
        <v>1217.5486607005655</v>
      </c>
      <c r="Q189" s="30">
        <f>Q190*'3-Statement Model'!Q98</f>
        <v>1327.3571580117043</v>
      </c>
      <c r="R189" s="30">
        <f>R190*'3-Statement Model'!R98</f>
        <v>1459.2809394861054</v>
      </c>
      <c r="S189" s="30">
        <f>S190*'3-Statement Model'!S98</f>
        <v>1721.4495904113212</v>
      </c>
    </row>
    <row r="190" spans="2:19" outlineLevel="1">
      <c r="C190" t="s">
        <v>266</v>
      </c>
      <c r="E190" s="72">
        <f>E189/'3-Statement Model'!E98</f>
        <v>0.39505574406204519</v>
      </c>
      <c r="F190" s="72">
        <f>F189/'3-Statement Model'!F98</f>
        <v>0.3446767136606706</v>
      </c>
      <c r="G190" s="72">
        <f>G189/'3-Statement Model'!G98</f>
        <v>0.38348387096774156</v>
      </c>
      <c r="H190" s="72">
        <f>H189/'3-Statement Model'!H98</f>
        <v>0.46329757199322402</v>
      </c>
      <c r="I190" s="72">
        <f>I189/'3-Statement Model'!I98</f>
        <v>0.21216736133376113</v>
      </c>
      <c r="J190" s="40">
        <v>0.46</v>
      </c>
      <c r="K190" s="40">
        <f>J190+2.5%</f>
        <v>0.48500000000000004</v>
      </c>
      <c r="L190" s="40">
        <f t="shared" ref="L190:S190" si="36">K190+2.5%</f>
        <v>0.51</v>
      </c>
      <c r="M190" s="40">
        <f t="shared" si="36"/>
        <v>0.53500000000000003</v>
      </c>
      <c r="N190" s="40">
        <f t="shared" si="36"/>
        <v>0.56000000000000005</v>
      </c>
      <c r="O190" s="40">
        <f t="shared" si="36"/>
        <v>0.58500000000000008</v>
      </c>
      <c r="P190" s="40">
        <f t="shared" si="36"/>
        <v>0.6100000000000001</v>
      </c>
      <c r="Q190" s="40">
        <f t="shared" si="36"/>
        <v>0.63500000000000012</v>
      </c>
      <c r="R190" s="40">
        <f t="shared" si="36"/>
        <v>0.66000000000000014</v>
      </c>
      <c r="S190" s="40">
        <f t="shared" si="36"/>
        <v>0.68500000000000016</v>
      </c>
    </row>
    <row r="191" spans="2:19" outlineLevel="1">
      <c r="C191" t="s">
        <v>85</v>
      </c>
      <c r="E191" s="117">
        <v>1</v>
      </c>
      <c r="F191" s="117">
        <v>0.6</v>
      </c>
      <c r="G191" s="117">
        <v>0.2</v>
      </c>
      <c r="H191" s="117">
        <v>1</v>
      </c>
      <c r="I191" s="117">
        <v>1.6</v>
      </c>
      <c r="J191" s="30">
        <f>J192*'3-Statement Model'!J98</f>
        <v>0.95608420630611168</v>
      </c>
      <c r="K191" s="30">
        <f>K192*'3-Statement Model'!K98</f>
        <v>1.0973604943118898</v>
      </c>
      <c r="L191" s="30">
        <f>L192*'3-Statement Model'!L98</f>
        <v>1.2427618562436888</v>
      </c>
      <c r="M191" s="30">
        <f>M192*'3-Statement Model'!M98</f>
        <v>1.3795987690932545</v>
      </c>
      <c r="N191" s="30">
        <f>N192*'3-Statement Model'!N98</f>
        <v>1.5131349940381991</v>
      </c>
      <c r="O191" s="30">
        <f>O192*'3-Statement Model'!O98</f>
        <v>1.5884946358545986</v>
      </c>
      <c r="P191" s="30">
        <f>P192*'3-Statement Model'!P98</f>
        <v>1.6729495907216225</v>
      </c>
      <c r="Q191" s="30">
        <f>Q192*'3-Statement Model'!Q98</f>
        <v>1.7520255433623924</v>
      </c>
      <c r="R191" s="30">
        <f>R192*'3-Statement Model'!R98</f>
        <v>1.8531959273539986</v>
      </c>
      <c r="S191" s="30">
        <f>S192*'3-Statement Model'!S98</f>
        <v>2.106347884715349</v>
      </c>
    </row>
    <row r="192" spans="2:19" outlineLevel="1">
      <c r="C192" t="s">
        <v>266</v>
      </c>
      <c r="E192" s="72">
        <f>E191/'3-Statement Model'!E98</f>
        <v>1.2118274357731447E-3</v>
      </c>
      <c r="F192" s="72">
        <f>F191/'3-Statement Model'!F98</f>
        <v>5.8337384540593047E-4</v>
      </c>
      <c r="G192" s="72">
        <f>G191/'3-Statement Model'!G98</f>
        <v>1.7204301075268803E-4</v>
      </c>
      <c r="H192" s="72">
        <f>H191/'3-Statement Model'!H98</f>
        <v>9.4108789760963642E-4</v>
      </c>
      <c r="I192" s="72">
        <f>I191/'3-Statement Model'!I98</f>
        <v>1.2824623276691267E-3</v>
      </c>
      <c r="J192" s="40">
        <f>AVERAGE($E$192:$I$192)</f>
        <v>8.3815890344210529E-4</v>
      </c>
      <c r="K192" s="40">
        <f t="shared" ref="K192:S192" si="37">AVERAGE($E$192:$I$192)</f>
        <v>8.3815890344210529E-4</v>
      </c>
      <c r="L192" s="40">
        <f t="shared" si="37"/>
        <v>8.3815890344210529E-4</v>
      </c>
      <c r="M192" s="40">
        <f t="shared" si="37"/>
        <v>8.3815890344210529E-4</v>
      </c>
      <c r="N192" s="40">
        <f t="shared" si="37"/>
        <v>8.3815890344210529E-4</v>
      </c>
      <c r="O192" s="40">
        <f t="shared" si="37"/>
        <v>8.3815890344210529E-4</v>
      </c>
      <c r="P192" s="40">
        <f t="shared" si="37"/>
        <v>8.3815890344210529E-4</v>
      </c>
      <c r="Q192" s="40">
        <f t="shared" si="37"/>
        <v>8.3815890344210529E-4</v>
      </c>
      <c r="R192" s="40">
        <f t="shared" si="37"/>
        <v>8.3815890344210529E-4</v>
      </c>
      <c r="S192" s="40">
        <f t="shared" si="37"/>
        <v>8.3815890344210529E-4</v>
      </c>
    </row>
    <row r="193" spans="2:19" outlineLevel="1">
      <c r="E193" s="72"/>
      <c r="F193" s="72"/>
      <c r="G193" s="72"/>
      <c r="H193" s="72"/>
      <c r="I193" s="72"/>
      <c r="J193" s="20"/>
      <c r="K193" s="20"/>
      <c r="L193" s="20"/>
      <c r="M193" s="20"/>
      <c r="N193" s="20"/>
      <c r="O193" s="20"/>
      <c r="P193" s="20"/>
      <c r="Q193" s="20"/>
      <c r="R193" s="20"/>
      <c r="S193" s="20"/>
    </row>
    <row r="194" spans="2:19" outlineLevel="1">
      <c r="C194" s="39" t="s">
        <v>86</v>
      </c>
      <c r="D194" s="39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 spans="2:19" outlineLevel="1">
      <c r="C195" t="s">
        <v>86</v>
      </c>
      <c r="E195" s="117">
        <v>-300.10000000000002</v>
      </c>
      <c r="F195" s="117">
        <v>52.5</v>
      </c>
      <c r="G195" s="117">
        <v>-237.2</v>
      </c>
      <c r="H195" s="117">
        <v>-806.7</v>
      </c>
      <c r="I195" s="117">
        <v>320.60000000000002</v>
      </c>
      <c r="J195" s="30">
        <f>J196*'3-Statement Model'!J24</f>
        <v>0</v>
      </c>
      <c r="K195" s="30">
        <f>K196*'3-Statement Model'!K24</f>
        <v>0</v>
      </c>
      <c r="L195" s="30">
        <f>L196*'3-Statement Model'!L24</f>
        <v>0</v>
      </c>
      <c r="M195" s="30">
        <f>M196*'3-Statement Model'!M24</f>
        <v>0</v>
      </c>
      <c r="N195" s="30">
        <f>N196*'3-Statement Model'!N24</f>
        <v>0</v>
      </c>
      <c r="O195" s="30">
        <f>O196*'3-Statement Model'!O24</f>
        <v>0</v>
      </c>
      <c r="P195" s="30">
        <f>P196*'3-Statement Model'!P24</f>
        <v>0</v>
      </c>
      <c r="Q195" s="30">
        <f>Q196*'3-Statement Model'!Q24</f>
        <v>0</v>
      </c>
      <c r="R195" s="30">
        <f>R196*'3-Statement Model'!R24</f>
        <v>0</v>
      </c>
      <c r="S195" s="30">
        <f>S196*'3-Statement Model'!S24</f>
        <v>0</v>
      </c>
    </row>
    <row r="196" spans="2:19" outlineLevel="1">
      <c r="C196" t="s">
        <v>5</v>
      </c>
      <c r="E196" s="72">
        <f>E195/'3-Statement Model'!E24</f>
        <v>-3.8095358992586578E-2</v>
      </c>
      <c r="F196" s="72">
        <f>F195/'3-Statement Model'!F24</f>
        <v>5.6742647774066981E-3</v>
      </c>
      <c r="G196" s="72">
        <f>G195/'3-Statement Model'!G24</f>
        <v>-2.2608132065041267E-2</v>
      </c>
      <c r="H196" s="72">
        <f>H195/'3-Statement Model'!H24</f>
        <v>-7.1779403128503547E-2</v>
      </c>
      <c r="I196" s="72">
        <f>I195/'3-Statement Model'!I24</f>
        <v>2.7254720269316766E-2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</row>
    <row r="197" spans="2:19" outlineLevel="1">
      <c r="E197" s="72"/>
      <c r="F197" s="72"/>
      <c r="G197" s="72"/>
      <c r="H197" s="72"/>
      <c r="I197" s="72"/>
      <c r="J197" s="20"/>
      <c r="K197" s="20"/>
      <c r="L197" s="20"/>
      <c r="M197" s="20"/>
      <c r="N197" s="20"/>
      <c r="O197" s="20"/>
      <c r="P197" s="20"/>
      <c r="Q197" s="20"/>
      <c r="R197" s="20"/>
      <c r="S197" s="20"/>
    </row>
    <row r="198" spans="2:19" outlineLevel="1">
      <c r="B198" t="s">
        <v>0</v>
      </c>
      <c r="C198" s="39" t="s">
        <v>267</v>
      </c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</row>
    <row r="199" spans="2:19" outlineLevel="1">
      <c r="C199" t="s">
        <v>46</v>
      </c>
      <c r="E199" s="53">
        <v>19.399999999999999</v>
      </c>
      <c r="F199" s="53">
        <v>30.9</v>
      </c>
      <c r="G199" s="53">
        <v>25.5</v>
      </c>
      <c r="H199" s="53">
        <v>63.8</v>
      </c>
      <c r="I199" s="53">
        <v>58.4</v>
      </c>
      <c r="J199" s="47">
        <f>$I$199</f>
        <v>58.4</v>
      </c>
      <c r="K199" s="47">
        <f t="shared" ref="K199:S199" si="38">$I$199</f>
        <v>58.4</v>
      </c>
      <c r="L199" s="47">
        <f t="shared" si="38"/>
        <v>58.4</v>
      </c>
      <c r="M199" s="47">
        <f t="shared" si="38"/>
        <v>58.4</v>
      </c>
      <c r="N199" s="47">
        <f t="shared" si="38"/>
        <v>58.4</v>
      </c>
      <c r="O199" s="47">
        <f t="shared" si="38"/>
        <v>58.4</v>
      </c>
      <c r="P199" s="47">
        <f t="shared" si="38"/>
        <v>58.4</v>
      </c>
      <c r="Q199" s="47">
        <f t="shared" si="38"/>
        <v>58.4</v>
      </c>
      <c r="R199" s="47">
        <f t="shared" si="38"/>
        <v>58.4</v>
      </c>
      <c r="S199" s="47">
        <f t="shared" si="38"/>
        <v>58.4</v>
      </c>
    </row>
    <row r="200" spans="2:19" outlineLevel="1">
      <c r="C200" t="s">
        <v>47</v>
      </c>
      <c r="E200" s="53">
        <v>0</v>
      </c>
      <c r="F200" s="53">
        <v>33.700000000000003</v>
      </c>
      <c r="G200" s="53">
        <v>0</v>
      </c>
      <c r="H200" s="53">
        <v>0</v>
      </c>
      <c r="I200" s="53">
        <v>0</v>
      </c>
      <c r="J200" s="47">
        <f>$I$200</f>
        <v>0</v>
      </c>
      <c r="K200" s="47">
        <f t="shared" ref="K200:S200" si="39">$I$200</f>
        <v>0</v>
      </c>
      <c r="L200" s="47">
        <f t="shared" si="39"/>
        <v>0</v>
      </c>
      <c r="M200" s="47">
        <f t="shared" si="39"/>
        <v>0</v>
      </c>
      <c r="N200" s="47">
        <f t="shared" si="39"/>
        <v>0</v>
      </c>
      <c r="O200" s="47">
        <f t="shared" si="39"/>
        <v>0</v>
      </c>
      <c r="P200" s="47">
        <f t="shared" si="39"/>
        <v>0</v>
      </c>
      <c r="Q200" s="47">
        <f t="shared" si="39"/>
        <v>0</v>
      </c>
      <c r="R200" s="47">
        <f t="shared" si="39"/>
        <v>0</v>
      </c>
      <c r="S200" s="47">
        <f t="shared" si="39"/>
        <v>0</v>
      </c>
    </row>
    <row r="201" spans="2:19" outlineLevel="1">
      <c r="E201" s="30"/>
      <c r="F201" s="30"/>
      <c r="G201" s="30"/>
      <c r="H201" s="30"/>
      <c r="I201" s="30"/>
    </row>
    <row r="202" spans="2:19" outlineLevel="1">
      <c r="C202" t="s">
        <v>51</v>
      </c>
      <c r="E202" s="53">
        <v>2.5</v>
      </c>
      <c r="F202" s="53">
        <v>9.1999999999999993</v>
      </c>
      <c r="G202" s="53">
        <v>9.5</v>
      </c>
      <c r="H202" s="53">
        <v>19.100000000000001</v>
      </c>
      <c r="I202" s="53">
        <v>24.1</v>
      </c>
      <c r="J202" s="47">
        <f>$I$202</f>
        <v>24.1</v>
      </c>
      <c r="K202" s="47">
        <f t="shared" ref="K202:S202" si="40">$I$202</f>
        <v>24.1</v>
      </c>
      <c r="L202" s="47">
        <f t="shared" si="40"/>
        <v>24.1</v>
      </c>
      <c r="M202" s="47">
        <f t="shared" si="40"/>
        <v>24.1</v>
      </c>
      <c r="N202" s="47">
        <f t="shared" si="40"/>
        <v>24.1</v>
      </c>
      <c r="O202" s="47">
        <f t="shared" si="40"/>
        <v>24.1</v>
      </c>
      <c r="P202" s="47">
        <f t="shared" si="40"/>
        <v>24.1</v>
      </c>
      <c r="Q202" s="47">
        <f t="shared" si="40"/>
        <v>24.1</v>
      </c>
      <c r="R202" s="47">
        <f t="shared" si="40"/>
        <v>24.1</v>
      </c>
      <c r="S202" s="47">
        <f t="shared" si="40"/>
        <v>24.1</v>
      </c>
    </row>
    <row r="203" spans="2:19" outlineLevel="1">
      <c r="C203" t="s">
        <v>52</v>
      </c>
      <c r="E203" s="53">
        <v>194.7</v>
      </c>
      <c r="F203" s="53">
        <v>142.5</v>
      </c>
      <c r="G203" s="53">
        <v>144.80000000000001</v>
      </c>
      <c r="H203" s="53">
        <v>188.6</v>
      </c>
      <c r="I203" s="53">
        <v>150.69999999999999</v>
      </c>
      <c r="J203" s="47">
        <f>$I$203</f>
        <v>150.69999999999999</v>
      </c>
      <c r="K203" s="47">
        <f t="shared" ref="K203:S203" si="41">$I$203</f>
        <v>150.69999999999999</v>
      </c>
      <c r="L203" s="47">
        <f t="shared" si="41"/>
        <v>150.69999999999999</v>
      </c>
      <c r="M203" s="47">
        <f t="shared" si="41"/>
        <v>150.69999999999999</v>
      </c>
      <c r="N203" s="47">
        <f t="shared" si="41"/>
        <v>150.69999999999999</v>
      </c>
      <c r="O203" s="47">
        <f t="shared" si="41"/>
        <v>150.69999999999999</v>
      </c>
      <c r="P203" s="47">
        <f t="shared" si="41"/>
        <v>150.69999999999999</v>
      </c>
      <c r="Q203" s="47">
        <f t="shared" si="41"/>
        <v>150.69999999999999</v>
      </c>
      <c r="R203" s="47">
        <f t="shared" si="41"/>
        <v>150.69999999999999</v>
      </c>
      <c r="S203" s="47">
        <f t="shared" si="41"/>
        <v>150.69999999999999</v>
      </c>
    </row>
    <row r="204" spans="2:19" outlineLevel="1">
      <c r="C204" t="s">
        <v>53</v>
      </c>
      <c r="E204" s="53">
        <v>87.3</v>
      </c>
      <c r="F204" s="53">
        <v>233.5</v>
      </c>
      <c r="G204" s="53">
        <v>92.2</v>
      </c>
      <c r="H204" s="53">
        <v>160.80000000000001</v>
      </c>
      <c r="I204" s="53">
        <v>164.5</v>
      </c>
      <c r="J204" s="47">
        <f>$I$204</f>
        <v>164.5</v>
      </c>
      <c r="K204" s="47">
        <f t="shared" ref="K204:S204" si="42">$I$204</f>
        <v>164.5</v>
      </c>
      <c r="L204" s="47">
        <f t="shared" si="42"/>
        <v>164.5</v>
      </c>
      <c r="M204" s="47">
        <f t="shared" si="42"/>
        <v>164.5</v>
      </c>
      <c r="N204" s="47">
        <f t="shared" si="42"/>
        <v>164.5</v>
      </c>
      <c r="O204" s="47">
        <f t="shared" si="42"/>
        <v>164.5</v>
      </c>
      <c r="P204" s="47">
        <f t="shared" si="42"/>
        <v>164.5</v>
      </c>
      <c r="Q204" s="47">
        <f t="shared" si="42"/>
        <v>164.5</v>
      </c>
      <c r="R204" s="47">
        <f t="shared" si="42"/>
        <v>164.5</v>
      </c>
      <c r="S204" s="47">
        <f t="shared" si="42"/>
        <v>164.5</v>
      </c>
    </row>
    <row r="205" spans="2:19" outlineLevel="1">
      <c r="E205" s="53"/>
      <c r="F205" s="53"/>
      <c r="G205" s="53"/>
      <c r="H205" s="53"/>
      <c r="I205" s="53"/>
      <c r="J205" s="30"/>
      <c r="K205" s="30"/>
      <c r="L205" s="30"/>
      <c r="M205" s="30"/>
      <c r="N205" s="30"/>
      <c r="O205" s="30"/>
      <c r="P205" s="30"/>
      <c r="Q205" s="30"/>
      <c r="R205" s="30"/>
      <c r="S205" s="30"/>
    </row>
    <row r="206" spans="2:19" outlineLevel="1">
      <c r="C206" t="s">
        <v>58</v>
      </c>
      <c r="E206" s="53">
        <v>334.7</v>
      </c>
      <c r="F206" s="53">
        <v>334.9</v>
      </c>
      <c r="G206" s="53">
        <v>303</v>
      </c>
      <c r="H206" s="53">
        <v>1217.9000000000001</v>
      </c>
      <c r="I206" s="53">
        <v>337.4</v>
      </c>
      <c r="J206" s="47">
        <f>$I$206</f>
        <v>337.4</v>
      </c>
      <c r="K206" s="47">
        <f t="shared" ref="K206:S206" si="43">$I$206</f>
        <v>337.4</v>
      </c>
      <c r="L206" s="47">
        <f t="shared" si="43"/>
        <v>337.4</v>
      </c>
      <c r="M206" s="47">
        <f t="shared" si="43"/>
        <v>337.4</v>
      </c>
      <c r="N206" s="47">
        <f t="shared" si="43"/>
        <v>337.4</v>
      </c>
      <c r="O206" s="47">
        <f t="shared" si="43"/>
        <v>337.4</v>
      </c>
      <c r="P206" s="47">
        <f t="shared" si="43"/>
        <v>337.4</v>
      </c>
      <c r="Q206" s="47">
        <f t="shared" si="43"/>
        <v>337.4</v>
      </c>
      <c r="R206" s="47">
        <f t="shared" si="43"/>
        <v>337.4</v>
      </c>
      <c r="S206" s="47">
        <f t="shared" si="43"/>
        <v>337.4</v>
      </c>
    </row>
    <row r="207" spans="2:19" outlineLevel="1">
      <c r="C207" t="s">
        <v>59</v>
      </c>
      <c r="E207" s="53">
        <v>163.30000000000001</v>
      </c>
      <c r="F207" s="53">
        <v>170.3</v>
      </c>
      <c r="G207" s="53">
        <v>205.9</v>
      </c>
      <c r="H207" s="53">
        <v>365.4</v>
      </c>
      <c r="I207" s="53">
        <v>367.7</v>
      </c>
      <c r="J207" s="47">
        <f>$I$207</f>
        <v>367.7</v>
      </c>
      <c r="K207" s="47">
        <f t="shared" ref="K207:S207" si="44">$I$207</f>
        <v>367.7</v>
      </c>
      <c r="L207" s="47">
        <f t="shared" si="44"/>
        <v>367.7</v>
      </c>
      <c r="M207" s="47">
        <f t="shared" si="44"/>
        <v>367.7</v>
      </c>
      <c r="N207" s="47">
        <f t="shared" si="44"/>
        <v>367.7</v>
      </c>
      <c r="O207" s="47">
        <f t="shared" si="44"/>
        <v>367.7</v>
      </c>
      <c r="P207" s="47">
        <f t="shared" si="44"/>
        <v>367.7</v>
      </c>
      <c r="Q207" s="47">
        <f t="shared" si="44"/>
        <v>367.7</v>
      </c>
      <c r="R207" s="47">
        <f t="shared" si="44"/>
        <v>367.7</v>
      </c>
      <c r="S207" s="47">
        <f t="shared" si="44"/>
        <v>367.7</v>
      </c>
    </row>
    <row r="208" spans="2:19" outlineLevel="1">
      <c r="C208" t="s">
        <v>61</v>
      </c>
      <c r="E208" s="53">
        <v>0</v>
      </c>
      <c r="F208" s="53">
        <v>3.7</v>
      </c>
      <c r="G208" s="53">
        <v>0</v>
      </c>
      <c r="H208" s="53">
        <v>0</v>
      </c>
      <c r="I208" s="53">
        <v>0</v>
      </c>
      <c r="J208" s="47">
        <f>$I$208</f>
        <v>0</v>
      </c>
      <c r="K208" s="47">
        <f t="shared" ref="K208:S208" si="45">$I$208</f>
        <v>0</v>
      </c>
      <c r="L208" s="47">
        <f t="shared" si="45"/>
        <v>0</v>
      </c>
      <c r="M208" s="47">
        <f t="shared" si="45"/>
        <v>0</v>
      </c>
      <c r="N208" s="47">
        <f t="shared" si="45"/>
        <v>0</v>
      </c>
      <c r="O208" s="47">
        <f t="shared" si="45"/>
        <v>0</v>
      </c>
      <c r="P208" s="47">
        <f t="shared" si="45"/>
        <v>0</v>
      </c>
      <c r="Q208" s="47">
        <f t="shared" si="45"/>
        <v>0</v>
      </c>
      <c r="R208" s="47">
        <f t="shared" si="45"/>
        <v>0</v>
      </c>
      <c r="S208" s="47">
        <f t="shared" si="45"/>
        <v>0</v>
      </c>
    </row>
    <row r="209" spans="3:19" outlineLevel="1">
      <c r="C209" t="s">
        <v>268</v>
      </c>
      <c r="E209" s="53">
        <v>319.5</v>
      </c>
      <c r="F209" s="53">
        <v>322.89999999999998</v>
      </c>
      <c r="G209" s="53">
        <v>239.9</v>
      </c>
      <c r="H209" s="53">
        <v>328.6</v>
      </c>
      <c r="I209" s="53">
        <v>357.2</v>
      </c>
      <c r="J209" s="47">
        <f>$I$209</f>
        <v>357.2</v>
      </c>
      <c r="K209" s="47">
        <f t="shared" ref="K209:S209" si="46">$I$209</f>
        <v>357.2</v>
      </c>
      <c r="L209" s="47">
        <f t="shared" si="46"/>
        <v>357.2</v>
      </c>
      <c r="M209" s="47">
        <f t="shared" si="46"/>
        <v>357.2</v>
      </c>
      <c r="N209" s="47">
        <f t="shared" si="46"/>
        <v>357.2</v>
      </c>
      <c r="O209" s="47">
        <f t="shared" si="46"/>
        <v>357.2</v>
      </c>
      <c r="P209" s="47">
        <f t="shared" si="46"/>
        <v>357.2</v>
      </c>
      <c r="Q209" s="47">
        <f t="shared" si="46"/>
        <v>357.2</v>
      </c>
      <c r="R209" s="47">
        <f t="shared" si="46"/>
        <v>357.2</v>
      </c>
      <c r="S209" s="47">
        <f t="shared" si="46"/>
        <v>357.2</v>
      </c>
    </row>
    <row r="210" spans="3:19" outlineLevel="1">
      <c r="C210" t="s">
        <v>60</v>
      </c>
      <c r="E210" s="53">
        <v>98.3</v>
      </c>
      <c r="F210" s="53">
        <v>95.6</v>
      </c>
      <c r="G210" s="53">
        <v>78</v>
      </c>
      <c r="H210" s="53">
        <v>200.5</v>
      </c>
      <c r="I210" s="53">
        <v>183.1</v>
      </c>
      <c r="J210" s="47">
        <f>$I$210</f>
        <v>183.1</v>
      </c>
      <c r="K210" s="47">
        <f t="shared" ref="K210:S210" si="47">$I$210</f>
        <v>183.1</v>
      </c>
      <c r="L210" s="47">
        <f t="shared" si="47"/>
        <v>183.1</v>
      </c>
      <c r="M210" s="47">
        <f t="shared" si="47"/>
        <v>183.1</v>
      </c>
      <c r="N210" s="47">
        <f t="shared" si="47"/>
        <v>183.1</v>
      </c>
      <c r="O210" s="47">
        <f t="shared" si="47"/>
        <v>183.1</v>
      </c>
      <c r="P210" s="47">
        <f t="shared" si="47"/>
        <v>183.1</v>
      </c>
      <c r="Q210" s="47">
        <f t="shared" si="47"/>
        <v>183.1</v>
      </c>
      <c r="R210" s="47">
        <f t="shared" si="47"/>
        <v>183.1</v>
      </c>
      <c r="S210" s="47">
        <f t="shared" si="47"/>
        <v>183.1</v>
      </c>
    </row>
    <row r="211" spans="3:19" outlineLevel="1">
      <c r="C211" t="s">
        <v>63</v>
      </c>
      <c r="E211" s="53">
        <v>379.9</v>
      </c>
      <c r="F211" s="53">
        <v>367.2</v>
      </c>
      <c r="G211" s="53">
        <v>322.5</v>
      </c>
      <c r="H211" s="53">
        <v>404.7</v>
      </c>
      <c r="I211" s="53">
        <v>338.9</v>
      </c>
      <c r="J211" s="47">
        <f>I211</f>
        <v>338.9</v>
      </c>
      <c r="K211" s="47">
        <f t="shared" ref="K211:S211" si="48">J211</f>
        <v>338.9</v>
      </c>
      <c r="L211" s="47">
        <f t="shared" si="48"/>
        <v>338.9</v>
      </c>
      <c r="M211" s="47">
        <f t="shared" si="48"/>
        <v>338.9</v>
      </c>
      <c r="N211" s="47">
        <f t="shared" si="48"/>
        <v>338.9</v>
      </c>
      <c r="O211" s="47">
        <f t="shared" si="48"/>
        <v>338.9</v>
      </c>
      <c r="P211" s="47">
        <f t="shared" si="48"/>
        <v>338.9</v>
      </c>
      <c r="Q211" s="47">
        <f t="shared" si="48"/>
        <v>338.9</v>
      </c>
      <c r="R211" s="47">
        <f t="shared" si="48"/>
        <v>338.9</v>
      </c>
      <c r="S211" s="47">
        <f t="shared" si="48"/>
        <v>338.9</v>
      </c>
    </row>
    <row r="212" spans="3:19" outlineLevel="1">
      <c r="E212" s="53"/>
      <c r="F212" s="53"/>
      <c r="G212" s="53"/>
      <c r="H212" s="53"/>
      <c r="I212" s="53"/>
      <c r="J212" s="30"/>
      <c r="K212" s="30"/>
      <c r="L212" s="30"/>
      <c r="M212" s="30"/>
      <c r="N212" s="30"/>
      <c r="O212" s="30"/>
      <c r="P212" s="30"/>
      <c r="Q212" s="30"/>
      <c r="R212" s="30"/>
      <c r="S212" s="30"/>
    </row>
    <row r="213" spans="3:19" outlineLevel="1">
      <c r="C213" t="s">
        <v>65</v>
      </c>
      <c r="E213" s="53">
        <v>31.3</v>
      </c>
      <c r="F213" s="53">
        <v>36.4</v>
      </c>
      <c r="G213" s="53">
        <v>36.1</v>
      </c>
      <c r="H213" s="53">
        <v>35.700000000000003</v>
      </c>
      <c r="I213" s="53">
        <v>41</v>
      </c>
      <c r="J213" s="47">
        <f>$I$213</f>
        <v>41</v>
      </c>
      <c r="K213" s="47">
        <f t="shared" ref="K213:S213" si="49">$I$213</f>
        <v>41</v>
      </c>
      <c r="L213" s="47">
        <f t="shared" si="49"/>
        <v>41</v>
      </c>
      <c r="M213" s="47">
        <f t="shared" si="49"/>
        <v>41</v>
      </c>
      <c r="N213" s="47">
        <f t="shared" si="49"/>
        <v>41</v>
      </c>
      <c r="O213" s="47">
        <f t="shared" si="49"/>
        <v>41</v>
      </c>
      <c r="P213" s="47">
        <f t="shared" si="49"/>
        <v>41</v>
      </c>
      <c r="Q213" s="47">
        <f t="shared" si="49"/>
        <v>41</v>
      </c>
      <c r="R213" s="47">
        <f t="shared" si="49"/>
        <v>41</v>
      </c>
      <c r="S213" s="47">
        <f t="shared" si="49"/>
        <v>41</v>
      </c>
    </row>
    <row r="214" spans="3:19" outlineLevel="1">
      <c r="E214" s="53"/>
      <c r="F214" s="53"/>
      <c r="G214" s="53"/>
      <c r="H214" s="53"/>
      <c r="I214" s="53"/>
      <c r="J214" s="30"/>
      <c r="K214" s="30"/>
      <c r="L214" s="30"/>
      <c r="M214" s="30"/>
      <c r="N214" s="30"/>
      <c r="O214" s="30"/>
      <c r="P214" s="30"/>
      <c r="Q214" s="30"/>
      <c r="R214" s="30"/>
      <c r="S214" s="30"/>
    </row>
    <row r="215" spans="3:19" outlineLevel="1">
      <c r="C215" s="39" t="s">
        <v>269</v>
      </c>
      <c r="D215" s="39"/>
      <c r="E215" s="178"/>
      <c r="F215" s="178"/>
      <c r="G215" s="178"/>
      <c r="H215" s="178"/>
      <c r="I215" s="178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</row>
    <row r="216" spans="3:19" outlineLevel="1">
      <c r="C216" t="s">
        <v>270</v>
      </c>
      <c r="E216" s="53"/>
      <c r="F216" s="53"/>
      <c r="G216" s="53"/>
      <c r="H216" s="53"/>
      <c r="I216" s="53"/>
      <c r="J216" s="148">
        <v>0.05</v>
      </c>
      <c r="K216" s="148">
        <v>0.05</v>
      </c>
      <c r="L216" s="148">
        <v>0.05</v>
      </c>
      <c r="M216" s="148">
        <v>0.05</v>
      </c>
      <c r="N216" s="148">
        <v>0.05</v>
      </c>
      <c r="O216" s="148">
        <v>0.05</v>
      </c>
      <c r="P216" s="148">
        <v>0.05</v>
      </c>
      <c r="Q216" s="148">
        <v>0.05</v>
      </c>
      <c r="R216" s="148">
        <v>0.05</v>
      </c>
      <c r="S216" s="148">
        <v>0.05</v>
      </c>
    </row>
    <row r="217" spans="3:19" outlineLevel="1">
      <c r="E217" s="53"/>
      <c r="F217" s="53"/>
      <c r="G217" s="53"/>
      <c r="H217" s="53"/>
      <c r="I217" s="53"/>
      <c r="J217" s="30"/>
      <c r="K217" s="30"/>
      <c r="L217" s="30"/>
      <c r="M217" s="30"/>
      <c r="N217" s="30"/>
      <c r="O217" s="30"/>
      <c r="P217" s="30"/>
      <c r="Q217" s="30"/>
      <c r="R217" s="30"/>
      <c r="S217" s="30"/>
    </row>
    <row r="218" spans="3:19" outlineLevel="1">
      <c r="C218" t="s">
        <v>271</v>
      </c>
      <c r="I218" s="134"/>
      <c r="J218" s="135">
        <v>0</v>
      </c>
      <c r="K218" s="135">
        <v>0</v>
      </c>
      <c r="L218" s="135">
        <v>0</v>
      </c>
      <c r="M218" s="135">
        <v>0</v>
      </c>
      <c r="N218" s="135">
        <v>0</v>
      </c>
      <c r="O218" s="135">
        <v>0</v>
      </c>
      <c r="P218" s="135">
        <v>0</v>
      </c>
      <c r="Q218" s="135">
        <v>0</v>
      </c>
      <c r="R218" s="135">
        <v>0</v>
      </c>
      <c r="S218" s="135">
        <v>0</v>
      </c>
    </row>
    <row r="219" spans="3:19" outlineLevel="1">
      <c r="C219" t="s">
        <v>169</v>
      </c>
      <c r="I219" s="20"/>
      <c r="J219" s="40">
        <v>0.15</v>
      </c>
      <c r="K219" s="40">
        <v>0.15</v>
      </c>
      <c r="L219" s="40">
        <v>0.15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</row>
    <row r="220" spans="3:19" outlineLevel="1"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</row>
    <row r="221" spans="3:19" outlineLevel="1">
      <c r="C221" t="s">
        <v>172</v>
      </c>
      <c r="I221" s="20"/>
      <c r="J221" s="40">
        <f>WACC!$D$16</f>
        <v>2.7040000000000002E-2</v>
      </c>
      <c r="K221" s="40">
        <f>WACC!$D$16</f>
        <v>2.7040000000000002E-2</v>
      </c>
      <c r="L221" s="40">
        <f>WACC!$D$16</f>
        <v>2.7040000000000002E-2</v>
      </c>
      <c r="M221" s="40">
        <f>WACC!$D$16</f>
        <v>2.7040000000000002E-2</v>
      </c>
      <c r="N221" s="40">
        <f>WACC!$D$16</f>
        <v>2.7040000000000002E-2</v>
      </c>
      <c r="O221" s="40">
        <f>WACC!$D$16</f>
        <v>2.7040000000000002E-2</v>
      </c>
      <c r="P221" s="40">
        <f>WACC!$D$16</f>
        <v>2.7040000000000002E-2</v>
      </c>
      <c r="Q221" s="40">
        <f>WACC!$D$16</f>
        <v>2.7040000000000002E-2</v>
      </c>
      <c r="R221" s="40">
        <f>WACC!$D$16</f>
        <v>2.7040000000000002E-2</v>
      </c>
      <c r="S221" s="40">
        <f>WACC!$D$16</f>
        <v>2.7040000000000002E-2</v>
      </c>
    </row>
    <row r="222" spans="3:19" outlineLevel="1">
      <c r="J222" s="20"/>
      <c r="K222" s="20"/>
      <c r="L222" s="20"/>
      <c r="M222" s="20"/>
      <c r="N222" s="20"/>
      <c r="O222" s="20"/>
      <c r="P222" s="20"/>
      <c r="Q222" s="20"/>
      <c r="R222" s="20"/>
      <c r="S222" s="20"/>
    </row>
    <row r="223" spans="3:19" outlineLevel="1">
      <c r="C223" t="s">
        <v>67</v>
      </c>
      <c r="E223" s="53">
        <v>1.4</v>
      </c>
      <c r="F223" s="53">
        <v>1.4</v>
      </c>
      <c r="G223" s="53">
        <v>1.5</v>
      </c>
      <c r="H223" s="53">
        <v>1.6</v>
      </c>
      <c r="I223" s="53">
        <v>1.6</v>
      </c>
      <c r="J223" s="47">
        <f>$I$223</f>
        <v>1.6</v>
      </c>
      <c r="K223" s="47">
        <f t="shared" ref="K223:S223" si="50">$I$223</f>
        <v>1.6</v>
      </c>
      <c r="L223" s="47">
        <f t="shared" si="50"/>
        <v>1.6</v>
      </c>
      <c r="M223" s="47">
        <f t="shared" si="50"/>
        <v>1.6</v>
      </c>
      <c r="N223" s="47">
        <f t="shared" si="50"/>
        <v>1.6</v>
      </c>
      <c r="O223" s="47">
        <f t="shared" si="50"/>
        <v>1.6</v>
      </c>
      <c r="P223" s="47">
        <f t="shared" si="50"/>
        <v>1.6</v>
      </c>
      <c r="Q223" s="47">
        <f t="shared" si="50"/>
        <v>1.6</v>
      </c>
      <c r="R223" s="47">
        <f t="shared" si="50"/>
        <v>1.6</v>
      </c>
      <c r="S223" s="47">
        <f t="shared" si="50"/>
        <v>1.6</v>
      </c>
    </row>
  </sheetData>
  <dataValidations count="1">
    <dataValidation type="list" allowBlank="1" showInputMessage="1" showErrorMessage="1" sqref="E2" xr:uid="{2C537698-9E49-43B1-A53F-D3D0FCF8ADD3}">
      <formula1>"Conservative, Management"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70D0-4941-47A6-A93D-31714D972BF3}">
  <dimension ref="B3:H23"/>
  <sheetViews>
    <sheetView showGridLines="0" zoomScale="70" zoomScaleNormal="70" workbookViewId="0">
      <selection activeCell="F30" sqref="F30"/>
    </sheetView>
  </sheetViews>
  <sheetFormatPr defaultRowHeight="14.45"/>
  <cols>
    <col min="2" max="2" width="25.7109375" customWidth="1"/>
    <col min="3" max="5" width="10.42578125" customWidth="1"/>
    <col min="6" max="6" width="35" customWidth="1"/>
  </cols>
  <sheetData>
    <row r="3" spans="2:8">
      <c r="B3" s="200" t="s">
        <v>276</v>
      </c>
      <c r="C3" s="206" t="s">
        <v>277</v>
      </c>
      <c r="D3" s="206" t="s">
        <v>278</v>
      </c>
      <c r="E3" s="206" t="s">
        <v>279</v>
      </c>
      <c r="F3" s="207" t="s">
        <v>280</v>
      </c>
    </row>
    <row r="4" spans="2:8">
      <c r="B4" t="s">
        <v>281</v>
      </c>
      <c r="C4" s="46">
        <f>D4</f>
        <v>2.0400000000000001E-3</v>
      </c>
      <c r="D4" s="46">
        <f>E4</f>
        <v>2.0400000000000001E-3</v>
      </c>
      <c r="E4" s="57">
        <v>2.0400000000000001E-3</v>
      </c>
      <c r="F4" s="9" t="s">
        <v>282</v>
      </c>
      <c r="G4" s="92"/>
    </row>
    <row r="5" spans="2:8">
      <c r="B5" t="s">
        <v>283</v>
      </c>
      <c r="C5" s="57">
        <v>7.0000000000000007E-2</v>
      </c>
      <c r="D5" s="46">
        <f>AVERAGE(E5,C5)</f>
        <v>7.5000000000000011E-2</v>
      </c>
      <c r="E5" s="57">
        <v>0.08</v>
      </c>
      <c r="F5" s="9" t="s">
        <v>284</v>
      </c>
    </row>
    <row r="6" spans="2:8">
      <c r="B6" t="s">
        <v>285</v>
      </c>
      <c r="C6" s="186">
        <v>0.95</v>
      </c>
      <c r="D6" s="186">
        <f>AVERAGE(E6,C6)</f>
        <v>1.0249999999999999</v>
      </c>
      <c r="E6" s="186">
        <v>1.1000000000000001</v>
      </c>
      <c r="F6" s="9" t="s">
        <v>286</v>
      </c>
      <c r="G6" s="92"/>
    </row>
    <row r="7" spans="2:8">
      <c r="B7" t="s">
        <v>287</v>
      </c>
      <c r="C7" s="187">
        <f>C22/C21</f>
        <v>1</v>
      </c>
      <c r="D7" s="187">
        <f>D22/D21</f>
        <v>0.81818181818181801</v>
      </c>
      <c r="E7" s="187">
        <f>E22/E21</f>
        <v>0.66666666666666674</v>
      </c>
      <c r="F7" s="9" t="s">
        <v>288</v>
      </c>
    </row>
    <row r="8" spans="2:8">
      <c r="B8" t="s">
        <v>289</v>
      </c>
      <c r="C8" s="186">
        <f>C6*(1+(1-C18)*C7)</f>
        <v>1.7081</v>
      </c>
      <c r="D8" s="186">
        <f>D6*(1+(1-D18)*D7)</f>
        <v>1.6942318181818177</v>
      </c>
      <c r="E8" s="186">
        <f>E6*(1+(1-E18)*E7)</f>
        <v>1.6852000000000003</v>
      </c>
      <c r="F8" s="9" t="s">
        <v>290</v>
      </c>
    </row>
    <row r="9" spans="2:8">
      <c r="B9" s="50" t="s">
        <v>291</v>
      </c>
      <c r="C9" s="188">
        <f>C4+C5*C8</f>
        <v>0.12160700000000001</v>
      </c>
      <c r="D9" s="188">
        <f>D4+D5*D8</f>
        <v>0.12910738636363633</v>
      </c>
      <c r="E9" s="188">
        <f>E4+E5*E8</f>
        <v>0.13685600000000003</v>
      </c>
      <c r="F9" s="50"/>
    </row>
    <row r="10" spans="2:8">
      <c r="C10" s="58"/>
      <c r="D10" s="58"/>
      <c r="E10" s="58"/>
    </row>
    <row r="11" spans="2:8">
      <c r="B11" t="s">
        <v>292</v>
      </c>
      <c r="C11" s="57">
        <v>0</v>
      </c>
      <c r="D11" s="57">
        <v>0</v>
      </c>
      <c r="E11" s="57">
        <v>0</v>
      </c>
      <c r="F11" s="93"/>
      <c r="G11" s="92"/>
      <c r="H11" s="92"/>
    </row>
    <row r="12" spans="2:8">
      <c r="B12" s="50" t="s">
        <v>293</v>
      </c>
      <c r="C12" s="189">
        <f>C9+C11</f>
        <v>0.12160700000000001</v>
      </c>
      <c r="D12" s="189">
        <f>D9+D11</f>
        <v>0.12910738636363633</v>
      </c>
      <c r="E12" s="189">
        <f>E9+E11</f>
        <v>0.13685600000000003</v>
      </c>
      <c r="F12" s="50"/>
    </row>
    <row r="13" spans="2:8">
      <c r="C13" s="58"/>
      <c r="D13" s="58"/>
      <c r="E13" s="58"/>
    </row>
    <row r="14" spans="2:8">
      <c r="B14" t="s">
        <v>281</v>
      </c>
      <c r="C14" s="46">
        <f>C4</f>
        <v>2.0400000000000001E-3</v>
      </c>
      <c r="D14" s="46">
        <f>D4</f>
        <v>2.0400000000000001E-3</v>
      </c>
      <c r="E14" s="46">
        <f>E4</f>
        <v>2.0400000000000001E-3</v>
      </c>
      <c r="F14" s="9" t="str">
        <f>F4</f>
        <v>10/30y gov bond of ch</v>
      </c>
    </row>
    <row r="15" spans="2:8">
      <c r="B15" t="s">
        <v>294</v>
      </c>
      <c r="C15" s="190">
        <v>2.5000000000000001E-2</v>
      </c>
      <c r="D15" s="190">
        <v>2.5000000000000001E-2</v>
      </c>
      <c r="E15" s="190">
        <v>2.5000000000000001E-2</v>
      </c>
      <c r="F15" s="9" t="s">
        <v>295</v>
      </c>
    </row>
    <row r="16" spans="2:8">
      <c r="B16" s="50" t="s">
        <v>296</v>
      </c>
      <c r="C16" s="189">
        <f>C14+C15</f>
        <v>2.7040000000000002E-2</v>
      </c>
      <c r="D16" s="189">
        <f>D14+D15</f>
        <v>2.7040000000000002E-2</v>
      </c>
      <c r="E16" s="189">
        <f>E14+E15</f>
        <v>2.7040000000000002E-2</v>
      </c>
      <c r="F16" s="50"/>
    </row>
    <row r="17" spans="2:6">
      <c r="C17" s="58"/>
      <c r="D17" s="58"/>
      <c r="E17" s="58"/>
    </row>
    <row r="18" spans="2:6">
      <c r="B18" t="s">
        <v>297</v>
      </c>
      <c r="C18" s="46">
        <f>D18</f>
        <v>0.20200000000000001</v>
      </c>
      <c r="D18" s="46">
        <f>E18</f>
        <v>0.20200000000000001</v>
      </c>
      <c r="E18" s="57">
        <v>0.20200000000000001</v>
      </c>
      <c r="F18" s="9" t="s">
        <v>298</v>
      </c>
    </row>
    <row r="19" spans="2:6">
      <c r="B19" s="50" t="s">
        <v>299</v>
      </c>
      <c r="C19" s="189">
        <f>C16*(1-C18)</f>
        <v>2.1577920000000004E-2</v>
      </c>
      <c r="D19" s="189">
        <f>D16*(1-D18)</f>
        <v>2.1577920000000004E-2</v>
      </c>
      <c r="E19" s="189">
        <f>E16*(1-E18)</f>
        <v>2.1577920000000004E-2</v>
      </c>
      <c r="F19" s="106"/>
    </row>
    <row r="20" spans="2:6">
      <c r="C20" s="58"/>
      <c r="D20" s="58"/>
      <c r="E20" s="58"/>
      <c r="F20" s="9"/>
    </row>
    <row r="21" spans="2:6">
      <c r="B21" t="s">
        <v>300</v>
      </c>
      <c r="C21" s="57">
        <v>0.5</v>
      </c>
      <c r="D21" s="46">
        <f>AVERAGE(E21,C21)</f>
        <v>0.55000000000000004</v>
      </c>
      <c r="E21" s="57">
        <v>0.6</v>
      </c>
      <c r="F21" s="9" t="s">
        <v>301</v>
      </c>
    </row>
    <row r="22" spans="2:6">
      <c r="B22" t="s">
        <v>302</v>
      </c>
      <c r="C22" s="46">
        <f>1-C21</f>
        <v>0.5</v>
      </c>
      <c r="D22" s="46">
        <f>1-D21</f>
        <v>0.44999999999999996</v>
      </c>
      <c r="E22" s="46">
        <f>1-E21</f>
        <v>0.4</v>
      </c>
      <c r="F22" s="9" t="s">
        <v>301</v>
      </c>
    </row>
    <row r="23" spans="2:6">
      <c r="B23" s="50" t="s">
        <v>186</v>
      </c>
      <c r="C23" s="189">
        <f>C12*C21+C19*C22</f>
        <v>7.1592460000000011E-2</v>
      </c>
      <c r="D23" s="189">
        <f>D12*D21+D19*D22</f>
        <v>8.0719126499999988E-2</v>
      </c>
      <c r="E23" s="189">
        <f>E12*E21+E19*E22</f>
        <v>9.0744768000000031E-2</v>
      </c>
      <c r="F23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2410-879C-448F-9586-05E03C62E2E4}">
  <dimension ref="B2:E1048576"/>
  <sheetViews>
    <sheetView showGridLines="0" zoomScale="85" zoomScaleNormal="85" workbookViewId="0">
      <selection activeCell="B34" sqref="B34"/>
    </sheetView>
  </sheetViews>
  <sheetFormatPr defaultRowHeight="14.45"/>
  <cols>
    <col min="2" max="2" width="30.7109375" bestFit="1" customWidth="1"/>
    <col min="3" max="3" width="23" bestFit="1" customWidth="1"/>
    <col min="4" max="4" width="12.140625" bestFit="1" customWidth="1"/>
  </cols>
  <sheetData>
    <row r="2" spans="2:5">
      <c r="B2" s="3"/>
    </row>
    <row r="3" spans="2:5">
      <c r="B3" s="184" t="s">
        <v>303</v>
      </c>
      <c r="C3" s="184" t="s">
        <v>304</v>
      </c>
      <c r="D3" s="184" t="s">
        <v>305</v>
      </c>
      <c r="E3" s="184"/>
    </row>
    <row r="5" spans="2:5">
      <c r="B5" t="s">
        <v>3</v>
      </c>
      <c r="C5" s="20">
        <v>1.2999999999999999E-2</v>
      </c>
      <c r="D5" s="20">
        <v>0.433</v>
      </c>
      <c r="E5" s="20">
        <f>C5+D9*D10</f>
        <v>2.7999999999999997E-2</v>
      </c>
    </row>
    <row r="6" spans="2:5">
      <c r="B6" t="s">
        <v>6</v>
      </c>
      <c r="C6" s="20">
        <v>1.37E-2</v>
      </c>
      <c r="D6" s="20">
        <v>0.33500000000000002</v>
      </c>
      <c r="E6" s="20">
        <f>C6+D9*D10</f>
        <v>2.87E-2</v>
      </c>
    </row>
    <row r="7" spans="2:5">
      <c r="B7" t="s">
        <v>306</v>
      </c>
      <c r="C7" s="20">
        <v>1.21E-2</v>
      </c>
      <c r="D7" s="20">
        <v>0.23200000000000001</v>
      </c>
      <c r="E7" s="20">
        <f>C7+D9*D10</f>
        <v>2.7099999999999999E-2</v>
      </c>
    </row>
    <row r="8" spans="2:5">
      <c r="B8" s="184" t="s">
        <v>307</v>
      </c>
      <c r="C8" s="184"/>
      <c r="D8" s="185">
        <f>C5*D5+C6*D6+C7*D7</f>
        <v>1.3025700000000001E-2</v>
      </c>
      <c r="E8" s="184"/>
    </row>
    <row r="9" spans="2:5">
      <c r="B9" t="s">
        <v>308</v>
      </c>
      <c r="C9" s="20"/>
      <c r="D9" s="20">
        <v>0.02</v>
      </c>
      <c r="E9" s="20"/>
    </row>
    <row r="10" spans="2:5">
      <c r="B10" t="s">
        <v>309</v>
      </c>
      <c r="C10" s="20"/>
      <c r="D10" s="20">
        <v>0.75</v>
      </c>
      <c r="E10" s="20"/>
    </row>
    <row r="11" spans="2:5">
      <c r="B11" s="184" t="s">
        <v>310</v>
      </c>
      <c r="C11" s="184"/>
      <c r="D11" s="185">
        <f>D8+D9*D10</f>
        <v>2.8025700000000001E-2</v>
      </c>
      <c r="E11" s="184"/>
    </row>
    <row r="13" spans="2:5">
      <c r="B13" t="s">
        <v>311</v>
      </c>
    </row>
    <row r="1048576" spans="2:2">
      <c r="B104857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91DD-225E-4493-AFE1-8C7E79329BA4}">
  <dimension ref="B3:H36"/>
  <sheetViews>
    <sheetView showGridLines="0" topLeftCell="A13" zoomScale="70" zoomScaleNormal="70" workbookViewId="0">
      <selection activeCell="K22" sqref="K22"/>
    </sheetView>
  </sheetViews>
  <sheetFormatPr defaultRowHeight="14.45"/>
  <cols>
    <col min="2" max="2" width="30.7109375" bestFit="1" customWidth="1"/>
  </cols>
  <sheetData>
    <row r="3" spans="2:8">
      <c r="B3" s="184" t="s">
        <v>251</v>
      </c>
      <c r="C3" s="184"/>
      <c r="D3" s="184">
        <v>2020</v>
      </c>
      <c r="E3" s="184">
        <f>D3+1</f>
        <v>2021</v>
      </c>
      <c r="F3" s="184">
        <f t="shared" ref="F3:H3" si="0">E3+1</f>
        <v>2022</v>
      </c>
      <c r="G3" s="184">
        <f t="shared" si="0"/>
        <v>2023</v>
      </c>
      <c r="H3" s="184">
        <f t="shared" si="0"/>
        <v>2024</v>
      </c>
    </row>
    <row r="4" spans="2:8">
      <c r="B4" s="3"/>
    </row>
    <row r="5" spans="2:8">
      <c r="B5" t="s">
        <v>312</v>
      </c>
      <c r="D5" s="117">
        <v>3267.4</v>
      </c>
      <c r="E5" s="117">
        <v>3442</v>
      </c>
      <c r="F5" s="117">
        <v>3549.1</v>
      </c>
      <c r="G5" s="117">
        <v>3973.3</v>
      </c>
      <c r="H5" s="117">
        <v>4394</v>
      </c>
    </row>
    <row r="6" spans="2:8">
      <c r="B6" t="s">
        <v>313</v>
      </c>
      <c r="D6" s="117">
        <v>169.3</v>
      </c>
      <c r="E6" s="117">
        <v>165.8</v>
      </c>
      <c r="F6" s="117">
        <v>174.5</v>
      </c>
      <c r="G6" s="117">
        <v>200</v>
      </c>
      <c r="H6" s="117">
        <v>220.7</v>
      </c>
    </row>
    <row r="7" spans="2:8">
      <c r="B7" t="s">
        <v>314</v>
      </c>
      <c r="D7" s="117">
        <v>1880.1</v>
      </c>
      <c r="E7" s="117">
        <v>1986.6</v>
      </c>
      <c r="F7" s="117">
        <v>2060.4</v>
      </c>
      <c r="G7" s="117">
        <v>2108</v>
      </c>
      <c r="H7" s="117">
        <v>2349.1999999999998</v>
      </c>
    </row>
    <row r="8" spans="2:8">
      <c r="B8" t="s">
        <v>315</v>
      </c>
      <c r="D8" s="116">
        <f>D5/D6</f>
        <v>19.299468399291197</v>
      </c>
      <c r="E8" s="116">
        <f>E5/E6</f>
        <v>20.759951749095293</v>
      </c>
      <c r="F8" s="116">
        <f>F5/F6</f>
        <v>20.338681948424068</v>
      </c>
      <c r="G8" s="116">
        <f>G5/G6</f>
        <v>19.866500000000002</v>
      </c>
      <c r="H8" s="116">
        <f>H5/H6</f>
        <v>19.90937924784776</v>
      </c>
    </row>
    <row r="9" spans="2:8">
      <c r="B9" t="s">
        <v>106</v>
      </c>
      <c r="D9" s="116">
        <f>D7/D6</f>
        <v>11.105138806851741</v>
      </c>
      <c r="E9" s="116">
        <f t="shared" ref="E9:H9" si="1">E7/E6</f>
        <v>11.981905910735826</v>
      </c>
      <c r="F9" s="116">
        <f t="shared" si="1"/>
        <v>11.807449856733525</v>
      </c>
      <c r="G9" s="116">
        <f t="shared" si="1"/>
        <v>10.54</v>
      </c>
      <c r="H9" s="116">
        <f t="shared" si="1"/>
        <v>10.644313547802447</v>
      </c>
    </row>
    <row r="11" spans="2:8">
      <c r="B11" s="118" t="s">
        <v>315</v>
      </c>
      <c r="C11" s="119">
        <f>AVERAGE(D8:H8)</f>
        <v>20.034796268931665</v>
      </c>
    </row>
    <row r="12" spans="2:8">
      <c r="B12" s="120" t="s">
        <v>106</v>
      </c>
      <c r="C12" s="121">
        <f>AVERAGE(D9:H9)</f>
        <v>11.215761624424708</v>
      </c>
    </row>
    <row r="15" spans="2:8">
      <c r="B15" s="184" t="s">
        <v>252</v>
      </c>
      <c r="C15" s="184"/>
      <c r="D15" s="184">
        <v>2020</v>
      </c>
      <c r="E15" s="184">
        <f>D15+1</f>
        <v>2021</v>
      </c>
      <c r="F15" s="184">
        <f t="shared" ref="F15" si="2">E15+1</f>
        <v>2022</v>
      </c>
      <c r="G15" s="184">
        <f t="shared" ref="G15" si="3">F15+1</f>
        <v>2023</v>
      </c>
      <c r="H15" s="184">
        <f t="shared" ref="H15" si="4">G15+1</f>
        <v>2024</v>
      </c>
    </row>
    <row r="17" spans="2:8">
      <c r="B17" t="s">
        <v>312</v>
      </c>
      <c r="D17" s="117">
        <v>446.4</v>
      </c>
      <c r="E17" s="117">
        <v>504.8</v>
      </c>
      <c r="F17" s="117">
        <v>552.6</v>
      </c>
      <c r="G17" s="117">
        <v>649.70000000000005</v>
      </c>
      <c r="H17" s="117">
        <v>751.5</v>
      </c>
    </row>
    <row r="18" spans="2:8">
      <c r="B18" t="s">
        <v>313</v>
      </c>
      <c r="D18" s="117">
        <v>85.5</v>
      </c>
      <c r="E18" s="117">
        <v>84.5</v>
      </c>
      <c r="F18" s="117">
        <v>86.1</v>
      </c>
      <c r="G18" s="117">
        <v>106</v>
      </c>
      <c r="H18" s="117">
        <v>120.8</v>
      </c>
    </row>
    <row r="19" spans="2:8">
      <c r="B19" t="s">
        <v>314</v>
      </c>
      <c r="D19" s="117">
        <v>131.1</v>
      </c>
      <c r="E19" s="117">
        <v>183.6</v>
      </c>
      <c r="F19" s="117">
        <v>219</v>
      </c>
      <c r="G19" s="117">
        <v>257.7</v>
      </c>
      <c r="H19" s="117">
        <v>337.8</v>
      </c>
    </row>
    <row r="20" spans="2:8">
      <c r="B20" t="s">
        <v>315</v>
      </c>
      <c r="D20" s="30">
        <f>D17/D18</f>
        <v>5.2210526315789467</v>
      </c>
      <c r="E20" s="30">
        <f>E17/E18</f>
        <v>5.9739644970414201</v>
      </c>
      <c r="F20" s="30">
        <f>F17/F18</f>
        <v>6.4181184668989557</v>
      </c>
      <c r="G20" s="30">
        <f>G17/G18</f>
        <v>6.129245283018868</v>
      </c>
      <c r="H20" s="30">
        <f>H17/H18</f>
        <v>6.2210264900662251</v>
      </c>
    </row>
    <row r="21" spans="2:8">
      <c r="B21" t="s">
        <v>316</v>
      </c>
      <c r="D21" s="30">
        <f>D19/D18</f>
        <v>1.5333333333333332</v>
      </c>
      <c r="E21" s="30">
        <f t="shared" ref="E21:H21" si="5">E19/E18</f>
        <v>2.1727810650887571</v>
      </c>
      <c r="F21" s="30">
        <f t="shared" si="5"/>
        <v>2.5435540069686411</v>
      </c>
      <c r="G21" s="30">
        <f t="shared" si="5"/>
        <v>2.4311320754716981</v>
      </c>
      <c r="H21" s="30">
        <f t="shared" si="5"/>
        <v>2.7963576158940397</v>
      </c>
    </row>
    <row r="23" spans="2:8">
      <c r="B23" s="118" t="s">
        <v>315</v>
      </c>
      <c r="C23" s="119">
        <f>AVERAGE(D20:H20)</f>
        <v>5.992681473720884</v>
      </c>
    </row>
    <row r="24" spans="2:8">
      <c r="B24" s="120" t="s">
        <v>106</v>
      </c>
      <c r="C24" s="121">
        <f>AVERAGE(D21:H21)</f>
        <v>2.295431619351294</v>
      </c>
    </row>
    <row r="27" spans="2:8">
      <c r="B27" s="184" t="s">
        <v>50</v>
      </c>
      <c r="C27" s="184"/>
      <c r="D27" s="184">
        <v>2020</v>
      </c>
      <c r="E27" s="184">
        <f>D27+1</f>
        <v>2021</v>
      </c>
      <c r="F27" s="184">
        <f t="shared" ref="F27" si="6">E27+1</f>
        <v>2022</v>
      </c>
      <c r="G27" s="184">
        <f t="shared" ref="G27" si="7">F27+1</f>
        <v>2023</v>
      </c>
      <c r="H27" s="184">
        <f t="shared" ref="H27" si="8">G27+1</f>
        <v>2024</v>
      </c>
    </row>
    <row r="29" spans="2:8">
      <c r="B29" t="s">
        <v>312</v>
      </c>
      <c r="D29" s="117">
        <v>1644.1999999999998</v>
      </c>
      <c r="E29" s="117">
        <v>1752.5</v>
      </c>
      <c r="F29" s="117">
        <v>1774.5000000000005</v>
      </c>
      <c r="G29" s="117">
        <v>2886.2000000000007</v>
      </c>
      <c r="H29" s="117">
        <v>3123.1000000000004</v>
      </c>
    </row>
    <row r="30" spans="2:8">
      <c r="B30" t="s">
        <v>317</v>
      </c>
      <c r="D30" s="117">
        <v>112.3</v>
      </c>
      <c r="E30" s="117">
        <v>116.3</v>
      </c>
      <c r="F30" s="117">
        <v>123.9</v>
      </c>
      <c r="G30" s="117">
        <v>179.3</v>
      </c>
      <c r="H30" s="117">
        <v>214.1</v>
      </c>
    </row>
    <row r="31" spans="2:8">
      <c r="B31" t="s">
        <v>318</v>
      </c>
      <c r="D31" s="117">
        <v>560.70000000000005</v>
      </c>
      <c r="E31" s="117">
        <v>669.2</v>
      </c>
      <c r="F31" s="117">
        <v>771.1</v>
      </c>
      <c r="G31" s="117">
        <v>863</v>
      </c>
      <c r="H31" s="117">
        <v>1076.4000000000001</v>
      </c>
    </row>
    <row r="32" spans="2:8">
      <c r="B32" t="s">
        <v>315</v>
      </c>
      <c r="D32" s="30">
        <f>D29/D30</f>
        <v>14.64113980409617</v>
      </c>
      <c r="E32" s="30">
        <f>E29/E30</f>
        <v>15.068787618228718</v>
      </c>
      <c r="F32" s="30">
        <f>F29/F30</f>
        <v>14.322033898305088</v>
      </c>
      <c r="G32" s="30">
        <f>G29/G30</f>
        <v>16.097044060234246</v>
      </c>
      <c r="H32" s="30">
        <f>H29/H30</f>
        <v>14.587108827650633</v>
      </c>
    </row>
    <row r="33" spans="2:8">
      <c r="B33" t="s">
        <v>316</v>
      </c>
      <c r="D33" s="30">
        <f>D31/D30</f>
        <v>4.9928762243989322</v>
      </c>
      <c r="E33" s="30">
        <f>E31/E30</f>
        <v>5.7540842648323309</v>
      </c>
      <c r="F33" s="30">
        <f>F31/F30</f>
        <v>6.2235673930589188</v>
      </c>
      <c r="G33" s="30">
        <f>G31/G30</f>
        <v>4.8131622978248743</v>
      </c>
      <c r="H33" s="30">
        <f>H31/H30</f>
        <v>5.0275572162540874</v>
      </c>
    </row>
    <row r="35" spans="2:8">
      <c r="B35" s="118" t="s">
        <v>315</v>
      </c>
      <c r="C35" s="119">
        <f>AVERAGE(D32:H32)</f>
        <v>14.943222841702971</v>
      </c>
    </row>
    <row r="36" spans="2:8">
      <c r="B36" s="120" t="s">
        <v>106</v>
      </c>
      <c r="C36" s="121">
        <f>AVERAGE(D33:H33)</f>
        <v>5.3622494792738289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443A-15CA-42B0-8458-7F8BAD4E7E12}">
  <dimension ref="A3:AC267"/>
  <sheetViews>
    <sheetView showGridLines="0" tabSelected="1" zoomScale="55" zoomScaleNormal="55" workbookViewId="0">
      <selection activeCell="R25" sqref="R25"/>
    </sheetView>
  </sheetViews>
  <sheetFormatPr defaultRowHeight="14.45"/>
  <cols>
    <col min="2" max="2" width="37.28515625" bestFit="1" customWidth="1"/>
    <col min="3" max="4" width="9.5703125" bestFit="1" customWidth="1"/>
    <col min="5" max="5" width="14" bestFit="1" customWidth="1"/>
    <col min="6" max="14" width="9.5703125" bestFit="1" customWidth="1"/>
  </cols>
  <sheetData>
    <row r="3" spans="2:14">
      <c r="B3" s="3" t="s">
        <v>319</v>
      </c>
    </row>
    <row r="5" spans="2:14">
      <c r="B5" s="180" t="s">
        <v>320</v>
      </c>
      <c r="C5" s="181">
        <f>2023</f>
        <v>2023</v>
      </c>
      <c r="D5" s="181">
        <f>C5+1</f>
        <v>2024</v>
      </c>
      <c r="E5" s="182">
        <f t="shared" ref="E5:N5" si="0">D5+1</f>
        <v>2025</v>
      </c>
      <c r="F5" s="182">
        <f t="shared" si="0"/>
        <v>2026</v>
      </c>
      <c r="G5" s="182">
        <f t="shared" si="0"/>
        <v>2027</v>
      </c>
      <c r="H5" s="182">
        <f t="shared" si="0"/>
        <v>2028</v>
      </c>
      <c r="I5" s="182">
        <f t="shared" si="0"/>
        <v>2029</v>
      </c>
      <c r="J5" s="182">
        <f t="shared" si="0"/>
        <v>2030</v>
      </c>
      <c r="K5" s="182">
        <f t="shared" si="0"/>
        <v>2031</v>
      </c>
      <c r="L5" s="182">
        <f t="shared" si="0"/>
        <v>2032</v>
      </c>
      <c r="M5" s="182">
        <f t="shared" si="0"/>
        <v>2033</v>
      </c>
      <c r="N5" s="182">
        <f t="shared" si="0"/>
        <v>2034</v>
      </c>
    </row>
    <row r="6" spans="2:14">
      <c r="B6" s="161" t="s">
        <v>321</v>
      </c>
      <c r="C6" s="162">
        <f>'3-Statement Model'!H33</f>
        <v>0.53608100653106261</v>
      </c>
      <c r="D6" s="162">
        <f>'3-Statement Model'!I33</f>
        <v>0.54543445180267103</v>
      </c>
      <c r="E6" s="162">
        <f>'3-Statement Model'!J33</f>
        <v>0.54999999999999993</v>
      </c>
      <c r="F6" s="162">
        <f>'3-Statement Model'!K33</f>
        <v>0.54999999999999993</v>
      </c>
      <c r="G6" s="162">
        <f>'3-Statement Model'!L33</f>
        <v>0.55000000000000004</v>
      </c>
      <c r="H6" s="162">
        <f>'3-Statement Model'!M33</f>
        <v>0.54999999999999993</v>
      </c>
      <c r="I6" s="162">
        <f>'3-Statement Model'!N33</f>
        <v>0.54999999999999993</v>
      </c>
      <c r="J6" s="162">
        <f>'3-Statement Model'!O33</f>
        <v>0.54999999999999993</v>
      </c>
      <c r="K6" s="162">
        <f>'3-Statement Model'!P33</f>
        <v>0.55000000000000004</v>
      </c>
      <c r="L6" s="162">
        <f>'3-Statement Model'!Q33</f>
        <v>0.54999999999999993</v>
      </c>
      <c r="M6" s="162">
        <f>'3-Statement Model'!R33</f>
        <v>0.55000000000000004</v>
      </c>
      <c r="N6" s="162">
        <f>'3-Statement Model'!S33</f>
        <v>0.54999999999999993</v>
      </c>
    </row>
    <row r="7" spans="2:14">
      <c r="B7" t="s">
        <v>322</v>
      </c>
      <c r="C7" s="94">
        <f>'3-Statement Model'!H56</f>
        <v>0.18193547238979946</v>
      </c>
      <c r="D7" s="94">
        <f>'3-Statement Model'!I56</f>
        <v>0.19293383546854131</v>
      </c>
      <c r="E7" s="94">
        <f>'3-Statement Model'!J56</f>
        <v>0.19199999999999998</v>
      </c>
      <c r="F7" s="94">
        <f>'3-Statement Model'!K56</f>
        <v>0.20299999999999996</v>
      </c>
      <c r="G7" s="94">
        <f>'3-Statement Model'!L56</f>
        <v>0.21000000000000005</v>
      </c>
      <c r="H7" s="94">
        <f>'3-Statement Model'!M56</f>
        <v>0.21299999999999997</v>
      </c>
      <c r="I7" s="94">
        <f>'3-Statement Model'!N56</f>
        <v>0.21299999999999997</v>
      </c>
      <c r="J7" s="94">
        <f>'3-Statement Model'!O56</f>
        <v>0.21299999999999997</v>
      </c>
      <c r="K7" s="94">
        <f>'3-Statement Model'!P56</f>
        <v>0.21300000000000002</v>
      </c>
      <c r="L7" s="94">
        <f>'3-Statement Model'!Q56</f>
        <v>0.21299999999999997</v>
      </c>
      <c r="M7" s="94">
        <f>'3-Statement Model'!R56</f>
        <v>0.21300000000000008</v>
      </c>
      <c r="N7" s="94">
        <f>'3-Statement Model'!S56</f>
        <v>0.21299999999999991</v>
      </c>
    </row>
    <row r="8" spans="2:14">
      <c r="B8" s="161" t="s">
        <v>323</v>
      </c>
      <c r="C8" s="162">
        <f>'3-Statement Model'!H73</f>
        <v>0.13783745306354886</v>
      </c>
      <c r="D8" s="162">
        <f>'3-Statement Model'!I73</f>
        <v>0.14570138823949455</v>
      </c>
      <c r="E8" s="162">
        <f>'3-Statement Model'!J73</f>
        <v>0.13910299332652742</v>
      </c>
      <c r="F8" s="162">
        <f>'3-Statement Model'!K73</f>
        <v>0.14921280835608877</v>
      </c>
      <c r="G8" s="162">
        <f>'3-Statement Model'!L73</f>
        <v>0.15615788661181723</v>
      </c>
      <c r="H8" s="162">
        <f>'3-Statement Model'!M73</f>
        <v>0.16144775552196822</v>
      </c>
      <c r="I8" s="162">
        <f>'3-Statement Model'!N73</f>
        <v>0.16651388710675274</v>
      </c>
      <c r="J8" s="162">
        <f>'3-Statement Model'!O73</f>
        <v>0.16568330359371794</v>
      </c>
      <c r="K8" s="162">
        <f>'3-Statement Model'!P73</f>
        <v>0.1662075242001779</v>
      </c>
      <c r="L8" s="162">
        <f>'3-Statement Model'!Q73</f>
        <v>0.16663827030485634</v>
      </c>
      <c r="M8" s="162">
        <f>'3-Statement Model'!R73</f>
        <v>0.16948749489923712</v>
      </c>
      <c r="N8" s="162">
        <f>'3-Statement Model'!S73</f>
        <v>0.18591253023225571</v>
      </c>
    </row>
    <row r="9" spans="2:14">
      <c r="B9" t="s">
        <v>324</v>
      </c>
      <c r="C9" s="94">
        <f>'3-Statement Model'!H93</f>
        <v>0.11891160820742799</v>
      </c>
      <c r="D9" s="94">
        <f>'3-Statement Model'!I93</f>
        <v>0.13287313718322535</v>
      </c>
      <c r="E9" s="94">
        <f>'3-Statement Model'!J93</f>
        <v>0.1262963681896857</v>
      </c>
      <c r="F9" s="94">
        <f>'3-Statement Model'!K93</f>
        <v>0.13770219570951733</v>
      </c>
      <c r="G9" s="94">
        <f>'3-Statement Model'!L93</f>
        <v>0.14619209984829595</v>
      </c>
      <c r="H9" s="94">
        <f>'3-Statement Model'!M93</f>
        <v>0.15296063086562722</v>
      </c>
      <c r="I9" s="94">
        <f>'3-Statement Model'!N93</f>
        <v>0.15900147187677946</v>
      </c>
      <c r="J9" s="94">
        <f>'3-Statement Model'!O93</f>
        <v>0.15901454499557463</v>
      </c>
      <c r="K9" s="94">
        <f>'3-Statement Model'!P93</f>
        <v>0.16036352030205642</v>
      </c>
      <c r="L9" s="94">
        <f>'3-Statement Model'!Q93</f>
        <v>0.16165593011237339</v>
      </c>
      <c r="M9" s="94">
        <f>'3-Statement Model'!R93</f>
        <v>0.16545146039381675</v>
      </c>
      <c r="N9" s="94">
        <f>'3-Statement Model'!S93</f>
        <v>0.18291932988649964</v>
      </c>
    </row>
    <row r="10" spans="2:14">
      <c r="B10" s="161" t="s">
        <v>325</v>
      </c>
      <c r="C10" s="162">
        <f>'3-Statement Model'!H99</f>
        <v>9.4549143131706828E-2</v>
      </c>
      <c r="D10" s="162">
        <f>'3-Statement Model'!I99</f>
        <v>0.10606047725514518</v>
      </c>
      <c r="E10" s="162">
        <f>'3-Statement Model'!J99</f>
        <v>0.10081084386017392</v>
      </c>
      <c r="F10" s="162">
        <f>'3-Statement Model'!K99</f>
        <v>0.10991507317158909</v>
      </c>
      <c r="G10" s="162">
        <f>'3-Statement Model'!L99</f>
        <v>0.11669178744128852</v>
      </c>
      <c r="H10" s="162">
        <f>'3-Statement Model'!M99</f>
        <v>0.12209448692767529</v>
      </c>
      <c r="I10" s="162">
        <f>'3-Statement Model'!N99</f>
        <v>0.12691633801245683</v>
      </c>
      <c r="J10" s="162">
        <f>'3-Statement Model'!O99</f>
        <v>0.1269267730879583</v>
      </c>
      <c r="K10" s="162">
        <f>'3-Statement Model'!P99</f>
        <v>0.12800353674270348</v>
      </c>
      <c r="L10" s="162">
        <f>'3-Statement Model'!Q99</f>
        <v>0.12903514933345936</v>
      </c>
      <c r="M10" s="162">
        <f>'3-Statement Model'!R99</f>
        <v>0.13206477414416234</v>
      </c>
      <c r="N10" s="162">
        <f>'3-Statement Model'!S99</f>
        <v>0.14600777732974848</v>
      </c>
    </row>
    <row r="11" spans="2:14">
      <c r="B11" t="s">
        <v>326</v>
      </c>
      <c r="C11" s="94">
        <f>'3-Statement Model'!H98/(('3-Statement Model'!H148+'3-Statement Model'!G148)/2)</f>
        <v>0.19496711099694511</v>
      </c>
      <c r="D11" s="94">
        <f>'3-Statement Model'!I98/(('3-Statement Model'!I148+'3-Statement Model'!H148)/2)</f>
        <v>0.19223420647149431</v>
      </c>
      <c r="E11" s="94">
        <f>'3-Statement Model'!J98/(('3-Statement Model'!J148+'3-Statement Model'!I148)/2)</f>
        <v>0.15512781471587719</v>
      </c>
      <c r="F11" s="94">
        <f>'3-Statement Model'!K98/(('3-Statement Model'!K148+'3-Statement Model'!J148)/2)</f>
        <v>0.16375509211661327</v>
      </c>
      <c r="G11" s="94">
        <f>'3-Statement Model'!L98/(('3-Statement Model'!L148+'3-Statement Model'!K148)/2)</f>
        <v>0.17058464106531712</v>
      </c>
      <c r="H11" s="94">
        <f>'3-Statement Model'!M98/(('3-Statement Model'!M148+'3-Statement Model'!L148)/2)</f>
        <v>0.17447208037692766</v>
      </c>
      <c r="I11" s="94">
        <f>'3-Statement Model'!N98/(('3-Statement Model'!N148+'3-Statement Model'!M148)/2)</f>
        <v>0.17682269391446906</v>
      </c>
      <c r="J11" s="94">
        <f>'3-Statement Model'!O98/(('3-Statement Model'!O148+'3-Statement Model'!N148)/2)</f>
        <v>0.17236225365263561</v>
      </c>
      <c r="K11" s="94">
        <f>'3-Statement Model'!P98/(('3-Statement Model'!P148+'3-Statement Model'!O148)/2)</f>
        <v>0.16953664432373014</v>
      </c>
      <c r="L11" s="94">
        <f>'3-Statement Model'!Q98/(('3-Statement Model'!Q148+'3-Statement Model'!P148)/2)</f>
        <v>0.16671014424012448</v>
      </c>
      <c r="M11" s="94">
        <f>'3-Statement Model'!R98/(('3-Statement Model'!R148+'3-Statement Model'!Q148)/2)</f>
        <v>0.16636083587122794</v>
      </c>
      <c r="N11" s="94">
        <f>'3-Statement Model'!S98/(('3-Statement Model'!S148+'3-Statement Model'!R148)/2)</f>
        <v>0.17878416353863141</v>
      </c>
    </row>
    <row r="12" spans="2:14">
      <c r="B12" s="161" t="s">
        <v>327</v>
      </c>
      <c r="C12" s="162">
        <f>'3-Statement Model'!H98/(('3-Statement Model'!H126+'3-Statement Model'!G126)/2)</f>
        <v>7.9283715724678253E-2</v>
      </c>
      <c r="D12" s="162">
        <f>'3-Statement Model'!I98/(('3-Statement Model'!I126+'3-Statement Model'!H126)/2)</f>
        <v>8.0417687250225467E-2</v>
      </c>
      <c r="E12" s="162">
        <f>'3-Statement Model'!J98/(('3-Statement Model'!J126+'3-Statement Model'!I126)/2)</f>
        <v>7.0416871652516769E-2</v>
      </c>
      <c r="F12" s="162">
        <f>'3-Statement Model'!K98/(('3-Statement Model'!K126+'3-Statement Model'!J126)/2)</f>
        <v>7.8241987650442615E-2</v>
      </c>
      <c r="G12" s="162">
        <f>'3-Statement Model'!L98/(('3-Statement Model'!L126+'3-Statement Model'!K126)/2)</f>
        <v>8.5324867247901351E-2</v>
      </c>
      <c r="H12" s="162">
        <f>'3-Statement Model'!M98/(('3-Statement Model'!M126+'3-Statement Model'!L126)/2)</f>
        <v>9.0684216314694754E-2</v>
      </c>
      <c r="I12" s="162">
        <f>'3-Statement Model'!N98/(('3-Statement Model'!N126+'3-Statement Model'!M126)/2)</f>
        <v>9.4789700402822419E-2</v>
      </c>
      <c r="J12" s="162">
        <f>'3-Statement Model'!O98/(('3-Statement Model'!O126+'3-Statement Model'!N126)/2)</f>
        <v>9.5022342323152834E-2</v>
      </c>
      <c r="K12" s="162">
        <f>'3-Statement Model'!P98/(('3-Statement Model'!P126+'3-Statement Model'!O126)/2)</f>
        <v>9.5822820623384083E-2</v>
      </c>
      <c r="L12" s="162">
        <f>'3-Statement Model'!Q98/(('3-Statement Model'!Q126+'3-Statement Model'!P126)/2)</f>
        <v>9.6351107746835793E-2</v>
      </c>
      <c r="M12" s="162">
        <f>'3-Statement Model'!R98/(('3-Statement Model'!R126+'3-Statement Model'!Q126)/2)</f>
        <v>9.8107327726601468E-2</v>
      </c>
      <c r="N12" s="162">
        <f>'3-Statement Model'!S98/(('3-Statement Model'!S126+'3-Statement Model'!R126)/2)</f>
        <v>0.10747825423091241</v>
      </c>
    </row>
    <row r="13" spans="2:14">
      <c r="B13" t="s">
        <v>328</v>
      </c>
      <c r="C13" s="94">
        <f>'3-Statement Model'!H72/(('3-Statement Model'!G126-'3-Statement Model'!G134+'3-Statement Model'!G141+'3-Statement Model'!G148+'3-Statement Model'!H148+'3-Statement Model'!H141-'3-Statement Model'!H134+'3-Statement Model'!H126)/2)</f>
        <v>7.3312651886767902E-2</v>
      </c>
      <c r="D13" s="94">
        <f>'3-Statement Model'!I72/(('3-Statement Model'!H126-'3-Statement Model'!H134+'3-Statement Model'!H141+'3-Statement Model'!H148+'3-Statement Model'!I148+'3-Statement Model'!I141-'3-Statement Model'!I134+'3-Statement Model'!I126)/2)</f>
        <v>6.8483270766445961E-2</v>
      </c>
      <c r="E13" s="94">
        <f>'3-Statement Model'!J72/(('3-Statement Model'!I126-'3-Statement Model'!I134+'3-Statement Model'!I141+'3-Statement Model'!I148+'3-Statement Model'!J148+'3-Statement Model'!J141-'3-Statement Model'!J134+'3-Statement Model'!J126)/2)</f>
        <v>5.7608279325843455E-2</v>
      </c>
      <c r="F13" s="94">
        <f>'3-Statement Model'!K72/(('3-Statement Model'!J126-'3-Statement Model'!J134+'3-Statement Model'!J141+'3-Statement Model'!J148+'3-Statement Model'!K148+'3-Statement Model'!K141-'3-Statement Model'!K134+'3-Statement Model'!K126)/2)</f>
        <v>6.2576770664375211E-2</v>
      </c>
      <c r="G13" s="94">
        <f>'3-Statement Model'!L72/(('3-Statement Model'!K126-'3-Statement Model'!K134+'3-Statement Model'!K141+'3-Statement Model'!K148+'3-Statement Model'!L148+'3-Statement Model'!L141-'3-Statement Model'!L134+'3-Statement Model'!L126)/2)</f>
        <v>6.7297953115167314E-2</v>
      </c>
      <c r="H13" s="94">
        <f>'3-Statement Model'!M72/(('3-Statement Model'!L126-'3-Statement Model'!L134+'3-Statement Model'!L141+'3-Statement Model'!L148+'3-Statement Model'!M148+'3-Statement Model'!M141-'3-Statement Model'!M134+'3-Statement Model'!M126)/2)</f>
        <v>7.0702413155434629E-2</v>
      </c>
      <c r="I13" s="94">
        <f>'3-Statement Model'!N72/(('3-Statement Model'!M126-'3-Statement Model'!M134+'3-Statement Model'!M141+'3-Statement Model'!M148+'3-Statement Model'!N148+'3-Statement Model'!N141-'3-Statement Model'!N134+'3-Statement Model'!N126)/2)</f>
        <v>7.3249646853399256E-2</v>
      </c>
      <c r="J13" s="94">
        <f>'3-Statement Model'!O72/(('3-Statement Model'!N126-'3-Statement Model'!N134+'3-Statement Model'!N141+'3-Statement Model'!N148+'3-Statement Model'!O148+'3-Statement Model'!O141-'3-Statement Model'!O134+'3-Statement Model'!O126)/2)</f>
        <v>7.2961512570906897E-2</v>
      </c>
      <c r="K13" s="94">
        <f>'3-Statement Model'!P72/(('3-Statement Model'!O126-'3-Statement Model'!O134+'3-Statement Model'!O141+'3-Statement Model'!O148+'3-Statement Model'!P148+'3-Statement Model'!P141-'3-Statement Model'!P134+'3-Statement Model'!P126)/2)</f>
        <v>7.3083260406361303E-2</v>
      </c>
      <c r="L13" s="94">
        <f>'3-Statement Model'!Q72/(('3-Statement Model'!P126-'3-Statement Model'!P134+'3-Statement Model'!P141+'3-Statement Model'!P148+'3-Statement Model'!Q148+'3-Statement Model'!Q141-'3-Statement Model'!Q134+'3-Statement Model'!Q126)/2)</f>
        <v>7.2972064614079679E-2</v>
      </c>
      <c r="M13" s="94">
        <f>'3-Statement Model'!R72/(('3-Statement Model'!Q126-'3-Statement Model'!Q134+'3-Statement Model'!Q141+'3-Statement Model'!Q148+'3-Statement Model'!R148+'3-Statement Model'!R141-'3-Statement Model'!R134+'3-Statement Model'!R126)/2)</f>
        <v>7.3708363634209351E-2</v>
      </c>
      <c r="N13" s="94">
        <f>'3-Statement Model'!S72/(('3-Statement Model'!R126-'3-Statement Model'!R134+'3-Statement Model'!R141+'3-Statement Model'!R148+'3-Statement Model'!S148+'3-Statement Model'!S141-'3-Statement Model'!S134+'3-Statement Model'!S126)/2)</f>
        <v>7.9939829974564391E-2</v>
      </c>
    </row>
    <row r="14" spans="2:14">
      <c r="B14" s="161" t="s">
        <v>329</v>
      </c>
      <c r="C14" s="163">
        <f>'3-Statement Model'!H104/(DCF!$C$107)</f>
        <v>6.6176762132171181</v>
      </c>
      <c r="D14" s="163">
        <f>'3-Statement Model'!I104/(DCF!$C$107)</f>
        <v>7.761125916724958</v>
      </c>
      <c r="E14" s="163">
        <f>'3-Statement Model'!J104/(DCF!$C$107)</f>
        <v>7.0950108560161445</v>
      </c>
      <c r="F14" s="163">
        <f>'3-Statement Model'!K104/(DCF!$C$107)</f>
        <v>8.1442778559658144</v>
      </c>
      <c r="G14" s="163">
        <f>'3-Statement Model'!L104/(DCF!$C$107)</f>
        <v>9.2239344296101855</v>
      </c>
      <c r="H14" s="163">
        <f>'3-Statement Model'!M104/(DCF!$C$107)</f>
        <v>10.23989356678325</v>
      </c>
      <c r="I14" s="163">
        <f>'3-Statement Model'!N104/(DCF!$C$107)</f>
        <v>11.231305857662642</v>
      </c>
      <c r="J14" s="163">
        <f>'3-Statement Model'!O104/(DCF!$C$107)</f>
        <v>11.79020220479136</v>
      </c>
      <c r="K14" s="163">
        <f>'3-Statement Model'!P104/(DCF!$C$107)</f>
        <v>12.416735152188327</v>
      </c>
      <c r="L14" s="163">
        <f>'3-Statement Model'!Q104/(DCF!$C$107)</f>
        <v>13.003311939565748</v>
      </c>
      <c r="M14" s="163">
        <f>'3-Statement Model'!R104/(DCF!$C$107)</f>
        <v>13.754202985613395</v>
      </c>
      <c r="N14" s="163">
        <f>'3-Statement Model'!S104/(DCF!$C$107)</f>
        <v>15.635078652831584</v>
      </c>
    </row>
    <row r="16" spans="2:14">
      <c r="B16" s="180" t="s">
        <v>330</v>
      </c>
      <c r="C16" s="181">
        <f>C5</f>
        <v>2023</v>
      </c>
      <c r="D16" s="181">
        <f t="shared" ref="D16:N16" si="1">D5</f>
        <v>2024</v>
      </c>
      <c r="E16" s="182">
        <f t="shared" si="1"/>
        <v>2025</v>
      </c>
      <c r="F16" s="182">
        <f t="shared" si="1"/>
        <v>2026</v>
      </c>
      <c r="G16" s="182">
        <f t="shared" si="1"/>
        <v>2027</v>
      </c>
      <c r="H16" s="182">
        <f t="shared" si="1"/>
        <v>2028</v>
      </c>
      <c r="I16" s="182">
        <f t="shared" si="1"/>
        <v>2029</v>
      </c>
      <c r="J16" s="182">
        <f t="shared" si="1"/>
        <v>2030</v>
      </c>
      <c r="K16" s="182">
        <f t="shared" si="1"/>
        <v>2031</v>
      </c>
      <c r="L16" s="182">
        <f t="shared" si="1"/>
        <v>2032</v>
      </c>
      <c r="M16" s="182">
        <f t="shared" si="1"/>
        <v>2033</v>
      </c>
      <c r="N16" s="182">
        <f t="shared" si="1"/>
        <v>2034</v>
      </c>
    </row>
    <row r="17" spans="2:29">
      <c r="B17" s="161" t="s">
        <v>331</v>
      </c>
      <c r="C17" s="164">
        <f>'3-Statement Model'!H117/'3-Statement Model'!H134</f>
        <v>1.2299180327868853</v>
      </c>
      <c r="D17" s="164">
        <f>'3-Statement Model'!I117/'3-Statement Model'!I134</f>
        <v>1.765026688326758</v>
      </c>
      <c r="E17" s="164">
        <f>'3-Statement Model'!J117/'3-Statement Model'!J134</f>
        <v>1.9385939255800277</v>
      </c>
      <c r="F17" s="164">
        <f>'3-Statement Model'!K117/'3-Statement Model'!K134</f>
        <v>2.0316017928864842</v>
      </c>
      <c r="G17" s="164">
        <f>'3-Statement Model'!L117/'3-Statement Model'!L134</f>
        <v>2.0973834938284299</v>
      </c>
      <c r="H17" s="164">
        <f>'3-Statement Model'!M117/'3-Statement Model'!M134</f>
        <v>2.2215072343174223</v>
      </c>
      <c r="I17" s="164">
        <f>'3-Statement Model'!N117/'3-Statement Model'!N134</f>
        <v>2.3314933347606428</v>
      </c>
      <c r="J17" s="164">
        <f>'3-Statement Model'!O117/'3-Statement Model'!O134</f>
        <v>2.4524218139609686</v>
      </c>
      <c r="K17" s="164">
        <f>'3-Statement Model'!P117/'3-Statement Model'!P134</f>
        <v>2.5963866178745474</v>
      </c>
      <c r="L17" s="164">
        <f>'3-Statement Model'!Q117/'3-Statement Model'!Q134</f>
        <v>2.7738321873742251</v>
      </c>
      <c r="M17" s="164">
        <f>'3-Statement Model'!R117/'3-Statement Model'!R134</f>
        <v>2.9863968614334415</v>
      </c>
      <c r="N17" s="164">
        <f>'3-Statement Model'!S117/'3-Statement Model'!S134</f>
        <v>3.1735055955333173</v>
      </c>
    </row>
    <row r="18" spans="2:29">
      <c r="B18" t="s">
        <v>332</v>
      </c>
      <c r="C18" s="165">
        <f>('3-Statement Model'!H117-'3-Statement Model'!H113-'3-Statement Model'!H114)/'3-Statement Model'!H134</f>
        <v>0.79534543325526941</v>
      </c>
      <c r="D18" s="165">
        <f>('3-Statement Model'!I117-'3-Statement Model'!I113-'3-Statement Model'!I114)/'3-Statement Model'!I134</f>
        <v>1.1375029009050823</v>
      </c>
      <c r="E18" s="165">
        <f>('3-Statement Model'!J117-'3-Statement Model'!J113-'3-Statement Model'!J114)/'3-Statement Model'!J134</f>
        <v>1.2786502865692175</v>
      </c>
      <c r="F18" s="165">
        <f>('3-Statement Model'!K117-'3-Statement Model'!K113-'3-Statement Model'!K114)/'3-Statement Model'!K134</f>
        <v>1.3876514896302103</v>
      </c>
      <c r="G18" s="165">
        <f>('3-Statement Model'!L117-'3-Statement Model'!L113-'3-Statement Model'!L114)/'3-Statement Model'!L134</f>
        <v>1.4806140703369193</v>
      </c>
      <c r="H18" s="165">
        <f>('3-Statement Model'!M117-'3-Statement Model'!M113-'3-Statement Model'!M114)/'3-Statement Model'!M134</f>
        <v>1.5953311379284052</v>
      </c>
      <c r="I18" s="165">
        <f>('3-Statement Model'!N117-'3-Statement Model'!N113-'3-Statement Model'!N114)/'3-Statement Model'!N134</f>
        <v>1.6970275950808908</v>
      </c>
      <c r="J18" s="165">
        <f>('3-Statement Model'!O117-'3-Statement Model'!O113-'3-Statement Model'!O114)/'3-Statement Model'!O134</f>
        <v>1.810656247931651</v>
      </c>
      <c r="K18" s="165">
        <f>('3-Statement Model'!P117-'3-Statement Model'!P113-'3-Statement Model'!P114)/'3-Statement Model'!P134</f>
        <v>1.9482574008280553</v>
      </c>
      <c r="L18" s="165">
        <f>('3-Statement Model'!Q117-'3-Statement Model'!Q113-'3-Statement Model'!Q114)/'3-Statement Model'!Q134</f>
        <v>2.1202266656640143</v>
      </c>
      <c r="M18" s="165">
        <f>('3-Statement Model'!R117-'3-Statement Model'!R113-'3-Statement Model'!R114)/'3-Statement Model'!R134</f>
        <v>2.3281590256399762</v>
      </c>
      <c r="N18" s="165">
        <f>('3-Statement Model'!S117-'3-Statement Model'!S113-'3-Statement Model'!S114)/'3-Statement Model'!S134</f>
        <v>2.5114420105993354</v>
      </c>
    </row>
    <row r="20" spans="2:29">
      <c r="B20" s="180" t="s">
        <v>333</v>
      </c>
      <c r="C20" s="181">
        <f>C5</f>
        <v>2023</v>
      </c>
      <c r="D20" s="181">
        <f t="shared" ref="D20:N20" si="2">D5</f>
        <v>2024</v>
      </c>
      <c r="E20" s="182">
        <f t="shared" si="2"/>
        <v>2025</v>
      </c>
      <c r="F20" s="182">
        <f t="shared" si="2"/>
        <v>2026</v>
      </c>
      <c r="G20" s="182">
        <f t="shared" si="2"/>
        <v>2027</v>
      </c>
      <c r="H20" s="182">
        <f t="shared" si="2"/>
        <v>2028</v>
      </c>
      <c r="I20" s="182">
        <f t="shared" si="2"/>
        <v>2029</v>
      </c>
      <c r="J20" s="182">
        <f t="shared" si="2"/>
        <v>2030</v>
      </c>
      <c r="K20" s="182">
        <f t="shared" si="2"/>
        <v>2031</v>
      </c>
      <c r="L20" s="182">
        <f t="shared" si="2"/>
        <v>2032</v>
      </c>
      <c r="M20" s="182">
        <f t="shared" si="2"/>
        <v>2033</v>
      </c>
      <c r="N20" s="182">
        <f t="shared" si="2"/>
        <v>2034</v>
      </c>
    </row>
    <row r="21" spans="2:29">
      <c r="B21" s="161" t="s">
        <v>334</v>
      </c>
      <c r="C21" s="166">
        <f>(('3-Statement Model'!G112+'3-Statement Model'!H112)/2)/'3-Statement Model'!H24*'3-Statement Model'!H107</f>
        <v>60.550780346306482</v>
      </c>
      <c r="D21" s="166">
        <f>(('3-Statement Model'!H112+'3-Statement Model'!I112)/2)/'3-Statement Model'!I24*'3-Statement Model'!I107</f>
        <v>64.916263569977303</v>
      </c>
      <c r="E21" s="166">
        <f>(('3-Statement Model'!I112+'3-Statement Model'!J112)/2)/'3-Statement Model'!J24*'3-Statement Model'!J107</f>
        <v>69.580001142751826</v>
      </c>
      <c r="F21" s="166">
        <f>(('3-Statement Model'!J112+'3-Statement Model'!K112)/2)/'3-Statement Model'!K24*'3-Statement Model'!K107</f>
        <v>66.272979107888702</v>
      </c>
      <c r="G21" s="166">
        <f>(('3-Statement Model'!K112+'3-Statement Model'!L112)/2)/'3-Statement Model'!L24*'3-Statement Model'!L107</f>
        <v>63.862441521102724</v>
      </c>
      <c r="H21" s="166">
        <f>(('3-Statement Model'!L112+'3-Statement Model'!M112)/2)/'3-Statement Model'!M24*'3-Statement Model'!M107</f>
        <v>63.05059158710241</v>
      </c>
      <c r="I21" s="166">
        <f>(('3-Statement Model'!M112+'3-Statement Model'!N112)/2)/'3-Statement Model'!N24*'3-Statement Model'!N107</f>
        <v>63.220525106881311</v>
      </c>
      <c r="J21" s="166">
        <f>(('3-Statement Model'!N112+'3-Statement Model'!O112)/2)/'3-Statement Model'!O24*'3-Statement Model'!O107</f>
        <v>63.378962146425536</v>
      </c>
      <c r="K21" s="166">
        <f>(('3-Statement Model'!O112+'3-Statement Model'!P112)/2)/'3-Statement Model'!P24*'3-Statement Model'!P107</f>
        <v>63.539143516550411</v>
      </c>
      <c r="L21" s="166">
        <f>(('3-Statement Model'!P112+'3-Statement Model'!Q112)/2)/'3-Statement Model'!Q24*'3-Statement Model'!Q107</f>
        <v>63.701079354701427</v>
      </c>
      <c r="M21" s="166">
        <f>(('3-Statement Model'!Q112+'3-Statement Model'!R112)/2)/'3-Statement Model'!R24*'3-Statement Model'!R107</f>
        <v>63.864779268917765</v>
      </c>
      <c r="N21" s="166">
        <f>(('3-Statement Model'!R112+'3-Statement Model'!S112)/2)/'3-Statement Model'!S24*'3-Statement Model'!S107</f>
        <v>64.030252323199605</v>
      </c>
    </row>
    <row r="22" spans="2:29">
      <c r="B22" t="s">
        <v>335</v>
      </c>
      <c r="C22" s="105">
        <f>(('3-Statement Model'!H113+'3-Statement Model'!G113)/2)/'3-Statement Model'!H29*'3-Statement Model'!H107</f>
        <v>85.880499827381172</v>
      </c>
      <c r="D22" s="105">
        <f>(('3-Statement Model'!I113+'3-Statement Model'!H113)/2)/'3-Statement Model'!I29*'3-Statement Model'!I107</f>
        <v>88.384731910755363</v>
      </c>
      <c r="E22" s="105">
        <f>(('3-Statement Model'!J113+'3-Statement Model'!I113)/2)/'3-Statement Model'!J29*'3-Statement Model'!J107</f>
        <v>98.346782673264798</v>
      </c>
      <c r="F22" s="105">
        <f>(('3-Statement Model'!K113+'3-Statement Model'!J113)/2)/'3-Statement Model'!K29*'3-Statement Model'!K107</f>
        <v>94.997071170853189</v>
      </c>
      <c r="G22" s="105">
        <f>(('3-Statement Model'!L113+'3-Statement Model'!K113)/2)/'3-Statement Model'!L29*'3-Statement Model'!L107</f>
        <v>88.720864834942418</v>
      </c>
      <c r="H22" s="105">
        <f>(('3-Statement Model'!M113+'3-Statement Model'!L113)/2)/'3-Statement Model'!M29*'3-Statement Model'!M107</f>
        <v>85.844583895889215</v>
      </c>
      <c r="I22" s="105">
        <f>(('3-Statement Model'!N113+'3-Statement Model'!M113)/2)/'3-Statement Model'!N29*'3-Statement Model'!N107</f>
        <v>86.075951626598467</v>
      </c>
      <c r="J22" s="105">
        <f>(('3-Statement Model'!O113+'3-Statement Model'!N113)/2)/'3-Statement Model'!O29*'3-Statement Model'!O107</f>
        <v>86.291666680034268</v>
      </c>
      <c r="K22" s="105">
        <f>(('3-Statement Model'!P113+'3-Statement Model'!O113)/2)/'3-Statement Model'!P29*'3-Statement Model'!P107</f>
        <v>86.509756672849761</v>
      </c>
      <c r="L22" s="105">
        <f>(('3-Statement Model'!Q113+'3-Statement Model'!P113)/2)/'3-Statement Model'!Q29*'3-Statement Model'!Q107</f>
        <v>86.730235407370472</v>
      </c>
      <c r="M22" s="105">
        <f>(('3-Statement Model'!R113+'3-Statement Model'!Q113)/2)/'3-Statement Model'!R29*'3-Statement Model'!R107</f>
        <v>86.953115965125122</v>
      </c>
      <c r="N22" s="105">
        <f>(('3-Statement Model'!S113+'3-Statement Model'!R113)/2)/'3-Statement Model'!S29*'3-Statement Model'!S107</f>
        <v>87.178410686922945</v>
      </c>
    </row>
    <row r="23" spans="2:29">
      <c r="B23" s="161" t="s">
        <v>336</v>
      </c>
      <c r="C23" s="166">
        <f>(('3-Statement Model'!H128+'3-Statement Model'!G128)/2)/'3-Statement Model'!H29*'3-Statement Model'!H107</f>
        <v>74.374928075491965</v>
      </c>
      <c r="D23" s="166">
        <f>(('3-Statement Model'!I128+'3-Statement Model'!H128)/2)/'3-Statement Model'!I29*'3-Statement Model'!I107</f>
        <v>79.200173926053367</v>
      </c>
      <c r="E23" s="166">
        <f>(('3-Statement Model'!J128+'3-Statement Model'!I128)/2)/'3-Statement Model'!J29*'3-Statement Model'!J107</f>
        <v>83.450815208539495</v>
      </c>
      <c r="F23" s="166">
        <f>(('3-Statement Model'!K128+'3-Statement Model'!J128)/2)/'3-Statement Model'!K29*'3-Statement Model'!K107</f>
        <v>77.597743899709243</v>
      </c>
      <c r="G23" s="166">
        <f>(('3-Statement Model'!L128+'3-Statement Model'!K128)/2)/'3-Statement Model'!L29*'3-Statement Model'!L107</f>
        <v>76.722874920159299</v>
      </c>
      <c r="H23" s="166">
        <f>(('3-Statement Model'!M128+'3-Statement Model'!L128)/2)/'3-Statement Model'!M29*'3-Statement Model'!M107</f>
        <v>76.923987075382655</v>
      </c>
      <c r="I23" s="166">
        <f>(('3-Statement Model'!N128+'3-Statement Model'!M128)/2)/'3-Statement Model'!N29*'3-Statement Model'!N107</f>
        <v>77.131312075039276</v>
      </c>
      <c r="J23" s="166">
        <f>(('3-Statement Model'!O128+'3-Statement Model'!N128)/2)/'3-Statement Model'!O29*'3-Statement Model'!O107</f>
        <v>77.324610955753585</v>
      </c>
      <c r="K23" s="166">
        <f>(('3-Statement Model'!P128+'3-Statement Model'!O128)/2)/'3-Statement Model'!P29*'3-Statement Model'!P107</f>
        <v>77.520037982448187</v>
      </c>
      <c r="L23" s="166">
        <f>(('3-Statement Model'!Q128+'3-Statement Model'!P128)/2)/'3-Statement Model'!Q29*'3-Statement Model'!Q107</f>
        <v>77.717605523170803</v>
      </c>
      <c r="M23" s="166">
        <f>(('3-Statement Model'!R128+'3-Statement Model'!Q128)/2)/'3-Statement Model'!R29*'3-Statement Model'!R107</f>
        <v>77.917325300074467</v>
      </c>
      <c r="N23" s="166">
        <f>(('3-Statement Model'!S128+'3-Statement Model'!R128)/2)/'3-Statement Model'!S29*'3-Statement Model'!S107</f>
        <v>78.119208371564994</v>
      </c>
    </row>
    <row r="24" spans="2:29">
      <c r="B24" t="s">
        <v>337</v>
      </c>
      <c r="C24" s="105">
        <f>C21+C22-C23</f>
        <v>72.056352098195674</v>
      </c>
      <c r="D24" s="105">
        <f t="shared" ref="D24:N24" si="3">D21+D22-D23</f>
        <v>74.1008215546793</v>
      </c>
      <c r="E24" s="105">
        <f t="shared" si="3"/>
        <v>84.475968607477114</v>
      </c>
      <c r="F24" s="105">
        <f t="shared" si="3"/>
        <v>83.672306379032662</v>
      </c>
      <c r="G24" s="105">
        <f t="shared" si="3"/>
        <v>75.860431435885843</v>
      </c>
      <c r="H24" s="105">
        <f t="shared" si="3"/>
        <v>71.971188407608963</v>
      </c>
      <c r="I24" s="105">
        <f t="shared" si="3"/>
        <v>72.165164658440503</v>
      </c>
      <c r="J24" s="105">
        <f t="shared" si="3"/>
        <v>72.346017870706206</v>
      </c>
      <c r="K24" s="105">
        <f t="shared" si="3"/>
        <v>72.528862206951985</v>
      </c>
      <c r="L24" s="105">
        <f t="shared" si="3"/>
        <v>72.713709238901103</v>
      </c>
      <c r="M24" s="105">
        <f t="shared" si="3"/>
        <v>72.900569933968413</v>
      </c>
      <c r="N24" s="105">
        <f t="shared" si="3"/>
        <v>73.089454638557569</v>
      </c>
    </row>
    <row r="25" spans="2:29">
      <c r="B25" s="161" t="s">
        <v>338</v>
      </c>
      <c r="C25" s="166">
        <f>'3-Statement Model'!H24/(('3-Statement Model'!H126+'3-Statement Model'!G126)/2)</f>
        <v>0.83854504756575254</v>
      </c>
      <c r="D25" s="166">
        <f>'3-Statement Model'!I24/(('3-Statement Model'!I126+'3-Statement Model'!H126)/2)</f>
        <v>0.75822482918654099</v>
      </c>
      <c r="E25" s="166">
        <f>'3-Statement Model'!J24/(('3-Statement Model'!J126+'3-Statement Model'!I126)/2)</f>
        <v>0.69850493216965803</v>
      </c>
      <c r="F25" s="166">
        <f>'3-Statement Model'!K24/(('3-Statement Model'!K126+'3-Statement Model'!J126)/2)</f>
        <v>0.71184038178547693</v>
      </c>
      <c r="G25" s="166">
        <f>'3-Statement Model'!L24/(('3-Statement Model'!L126+'3-Statement Model'!K126)/2)</f>
        <v>0.73119856263090577</v>
      </c>
      <c r="H25" s="166">
        <f>'3-Statement Model'!M24/(('3-Statement Model'!M126+'3-Statement Model'!L126)/2)</f>
        <v>0.7427380105083129</v>
      </c>
      <c r="I25" s="166">
        <f>'3-Statement Model'!N24/(('3-Statement Model'!N126+'3-Statement Model'!M126)/2)</f>
        <v>0.74686759708997297</v>
      </c>
      <c r="J25" s="166">
        <f>'3-Statement Model'!O24/(('3-Statement Model'!O126+'3-Statement Model'!N126)/2)</f>
        <v>0.74863907756721904</v>
      </c>
      <c r="K25" s="166">
        <f>'3-Statement Model'!P24/(('3-Statement Model'!P126+'3-Statement Model'!O126)/2)</f>
        <v>0.7485951018368735</v>
      </c>
      <c r="L25" s="166">
        <f>'3-Statement Model'!Q24/(('3-Statement Model'!Q126+'3-Statement Model'!P126)/2)</f>
        <v>0.7467043533839004</v>
      </c>
      <c r="M25" s="166">
        <f>'3-Statement Model'!R24/(('3-Statement Model'!R126+'3-Statement Model'!Q126)/2)</f>
        <v>0.74287279376639204</v>
      </c>
      <c r="N25" s="166">
        <f>'3-Statement Model'!S24/(('3-Statement Model'!S126+'3-Statement Model'!R126)/2)</f>
        <v>0.7361132139432558</v>
      </c>
    </row>
    <row r="26" spans="2:29">
      <c r="B26" t="s">
        <v>339</v>
      </c>
      <c r="C26" s="105">
        <f>'3-Statement Model'!H29/(('3-Statement Model'!H113+'3-Statement Model'!G113)/2)</f>
        <v>4.2500917057265131</v>
      </c>
      <c r="D26" s="105">
        <f>'3-Statement Model'!I29/(('3-Statement Model'!I113+'3-Statement Model'!H113)/2)</f>
        <v>4.1296725362990419</v>
      </c>
      <c r="E26" s="105">
        <f>'3-Statement Model'!J29/(('3-Statement Model'!J113+'3-Statement Model'!I113)/2)</f>
        <v>3.7113567935682346</v>
      </c>
      <c r="F26" s="105">
        <f>'3-Statement Model'!K29/(('3-Statement Model'!K113+'3-Statement Model'!J113)/2)</f>
        <v>3.8422237180717267</v>
      </c>
      <c r="G26" s="105">
        <f>'3-Statement Model'!L29/(('3-Statement Model'!L113+'3-Statement Model'!K113)/2)</f>
        <v>4.1140266236025909</v>
      </c>
      <c r="H26" s="105">
        <f>'3-Statement Model'!M29/(('3-Statement Model'!M113+'3-Statement Model'!L113)/2)</f>
        <v>4.2518698726837041</v>
      </c>
      <c r="I26" s="105">
        <f>'3-Statement Model'!N29/(('3-Statement Model'!N113+'3-Statement Model'!M113)/2)</f>
        <v>4.2404410651582127</v>
      </c>
      <c r="J26" s="105">
        <f>'3-Statement Model'!O29/(('3-Statement Model'!O113+'3-Statement Model'!N113)/2)</f>
        <v>4.2298406560323381</v>
      </c>
      <c r="K26" s="105">
        <f>'3-Statement Model'!P29/(('3-Statement Model'!P113+'3-Statement Model'!O113)/2)</f>
        <v>4.2191772817059796</v>
      </c>
      <c r="L26" s="105">
        <f>'3-Statement Model'!Q29/(('3-Statement Model'!Q113+'3-Statement Model'!P113)/2)</f>
        <v>4.208451623422917</v>
      </c>
      <c r="M26" s="105">
        <f>'3-Statement Model'!R29/(('3-Statement Model'!R113+'3-Statement Model'!Q113)/2)</f>
        <v>4.197664407407701</v>
      </c>
      <c r="N26" s="105">
        <f>'3-Statement Model'!S29/(('3-Statement Model'!S113+'3-Statement Model'!R113)/2)</f>
        <v>4.186816404703638</v>
      </c>
    </row>
    <row r="27" spans="2:29">
      <c r="B27" s="161" t="s">
        <v>340</v>
      </c>
      <c r="C27" s="166">
        <f>'3-Statement Model'!H24/(('3-Statement Model'!H117+'3-Statement Model'!G117)/2)</f>
        <v>2.4371604844568293</v>
      </c>
      <c r="D27" s="166">
        <f>'3-Statement Model'!I24/(('3-Statement Model'!I117+'3-Statement Model'!H117)/2)</f>
        <v>2.6841991169121586</v>
      </c>
      <c r="E27" s="166">
        <f>'3-Statement Model'!J24/(('3-Statement Model'!J117+'3-Statement Model'!I117)/2)</f>
        <v>2.4095247080687909</v>
      </c>
      <c r="F27" s="166">
        <f>'3-Statement Model'!K24/(('3-Statement Model'!K117+'3-Statement Model'!J117)/2)</f>
        <v>2.3689069223766608</v>
      </c>
      <c r="G27" s="166">
        <f>'3-Statement Model'!L24/(('3-Statement Model'!L117+'3-Statement Model'!K117)/2)</f>
        <v>2.3343883082546233</v>
      </c>
      <c r="H27" s="166">
        <f>'3-Statement Model'!M24/(('3-Statement Model'!M117+'3-Statement Model'!L117)/2)</f>
        <v>2.2616076895673105</v>
      </c>
      <c r="I27" s="166">
        <f>'3-Statement Model'!N24/(('3-Statement Model'!N117+'3-Statement Model'!M117)/2)</f>
        <v>2.1702529377519166</v>
      </c>
      <c r="J27" s="166">
        <f>'3-Statement Model'!O24/(('3-Statement Model'!O117+'3-Statement Model'!N117)/2)</f>
        <v>2.0857987018096895</v>
      </c>
      <c r="K27" s="166">
        <f>'3-Statement Model'!P24/(('3-Statement Model'!P117+'3-Statement Model'!O117)/2)</f>
        <v>1.9924234336950575</v>
      </c>
      <c r="L27" s="166">
        <f>'3-Statement Model'!Q24/(('3-Statement Model'!Q117+'3-Statement Model'!P117)/2)</f>
        <v>1.8855000986618964</v>
      </c>
      <c r="M27" s="166">
        <f>'3-Statement Model'!R24/(('3-Statement Model'!R117+'3-Statement Model'!Q117)/2)</f>
        <v>1.7669425344536771</v>
      </c>
      <c r="N27" s="166">
        <f>'3-Statement Model'!S24/(('3-Statement Model'!S117+'3-Statement Model'!R117)/2)</f>
        <v>1.6588706545337397</v>
      </c>
    </row>
    <row r="28" spans="2:29">
      <c r="B28" t="s">
        <v>341</v>
      </c>
      <c r="C28" s="105">
        <f>'3-Statement Model'!H24/(('3-Statement Model'!H112+'3-Statement Model'!G112)/2)</f>
        <v>6.0279982836301222</v>
      </c>
      <c r="D28" s="105">
        <f>'3-Statement Model'!I24/(('3-Statement Model'!I112+'3-Statement Model'!H112)/2)</f>
        <v>5.6226279814540412</v>
      </c>
      <c r="E28" s="105">
        <f>'3-Statement Model'!J24/(('3-Statement Model'!J112+'3-Statement Model'!I112)/2)</f>
        <v>5.2457601897872665</v>
      </c>
      <c r="F28" s="105">
        <f>'3-Statement Model'!K24/(('3-Statement Model'!K112+'3-Statement Model'!J112)/2)</f>
        <v>5.5075236531286826</v>
      </c>
      <c r="G28" s="105">
        <f>'3-Statement Model'!L24/(('3-Statement Model'!L112+'3-Statement Model'!K112)/2)</f>
        <v>5.7154094222875793</v>
      </c>
      <c r="H28" s="105">
        <f>'3-Statement Model'!M24/(('3-Statement Model'!M112+'3-Statement Model'!L112)/2)</f>
        <v>5.7890019873289216</v>
      </c>
      <c r="I28" s="105">
        <f>'3-Statement Model'!N24/(('3-Statement Model'!N112+'3-Statement Model'!M112)/2)</f>
        <v>5.7734414477406988</v>
      </c>
      <c r="J28" s="105">
        <f>'3-Statement Model'!O24/(('3-Statement Model'!O112+'3-Statement Model'!N112)/2)</f>
        <v>5.7590087883852377</v>
      </c>
      <c r="K28" s="105">
        <f>'3-Statement Model'!P24/(('3-Statement Model'!P112+'3-Statement Model'!O112)/2)</f>
        <v>5.7444904007074999</v>
      </c>
      <c r="L28" s="105">
        <f>'3-Statement Model'!Q24/(('3-Statement Model'!Q112+'3-Statement Model'!P112)/2)</f>
        <v>5.7298872122338915</v>
      </c>
      <c r="M28" s="105">
        <f>'3-Statement Model'!R24/(('3-Statement Model'!R112+'3-Statement Model'!Q112)/2)</f>
        <v>5.7152002117329976</v>
      </c>
      <c r="N28" s="105">
        <f>'3-Statement Model'!S24/(('3-Statement Model'!S112+'3-Statement Model'!R112)/2)</f>
        <v>5.7004304489950028</v>
      </c>
    </row>
    <row r="30" spans="2:29">
      <c r="B30" s="180" t="s">
        <v>342</v>
      </c>
      <c r="C30" s="181">
        <f>2023</f>
        <v>2023</v>
      </c>
      <c r="D30" s="181">
        <f>C30+1</f>
        <v>2024</v>
      </c>
      <c r="E30" s="182">
        <f t="shared" ref="E30:N30" si="4">D30+1</f>
        <v>2025</v>
      </c>
      <c r="F30" s="182">
        <f t="shared" si="4"/>
        <v>2026</v>
      </c>
      <c r="G30" s="182">
        <f t="shared" si="4"/>
        <v>2027</v>
      </c>
      <c r="H30" s="182">
        <f t="shared" si="4"/>
        <v>2028</v>
      </c>
      <c r="I30" s="182">
        <f t="shared" si="4"/>
        <v>2029</v>
      </c>
      <c r="J30" s="182">
        <f t="shared" si="4"/>
        <v>2030</v>
      </c>
      <c r="K30" s="182">
        <f t="shared" si="4"/>
        <v>2031</v>
      </c>
      <c r="L30" s="182">
        <f t="shared" si="4"/>
        <v>2032</v>
      </c>
      <c r="M30" s="182">
        <f t="shared" si="4"/>
        <v>2033</v>
      </c>
      <c r="N30" s="182">
        <f t="shared" si="4"/>
        <v>2034</v>
      </c>
    </row>
    <row r="31" spans="2:29">
      <c r="B31" s="161" t="s">
        <v>343</v>
      </c>
      <c r="C31" s="166">
        <f>('3-Statement Model'!H134+'3-Statement Model'!H141)/'3-Statement Model'!H148</f>
        <v>1.5366918357715904</v>
      </c>
      <c r="D31" s="166">
        <f>('3-Statement Model'!I134+'3-Statement Model'!I141)/'3-Statement Model'!I148</f>
        <v>1.2672986320031787</v>
      </c>
      <c r="E31" s="166">
        <f>('3-Statement Model'!J134+'3-Statement Model'!J141)/'3-Statement Model'!J148</f>
        <v>1.1438314095364044</v>
      </c>
      <c r="F31" s="166">
        <f>('3-Statement Model'!K134+'3-Statement Model'!K141)/'3-Statement Model'!K148</f>
        <v>1.046130095121496</v>
      </c>
      <c r="G31" s="166">
        <f>('3-Statement Model'!L134+'3-Statement Model'!L141)/'3-Statement Model'!L148</f>
        <v>0.95608800598834398</v>
      </c>
      <c r="H31" s="166">
        <f>('3-Statement Model'!M134+'3-Statement Model'!M141)/'3-Statement Model'!M148</f>
        <v>0.8943087326716106</v>
      </c>
      <c r="I31" s="166">
        <f>('3-Statement Model'!N134+'3-Statement Model'!N141)/'3-Statement Model'!N148</f>
        <v>0.83868494254012604</v>
      </c>
      <c r="J31" s="166">
        <f>('3-Statement Model'!O134+'3-Statement Model'!O141)/'3-Statement Model'!O148</f>
        <v>0.79084172417564891</v>
      </c>
      <c r="K31" s="166">
        <f>('3-Statement Model'!P134+'3-Statement Model'!P141)/'3-Statement Model'!P148</f>
        <v>0.74907440047918838</v>
      </c>
      <c r="L31" s="166">
        <f>('3-Statement Model'!Q134+'3-Statement Model'!Q141)/'3-Statement Model'!Q148</f>
        <v>0.712502309371156</v>
      </c>
      <c r="M31" s="166">
        <f>('3-Statement Model'!R134+'3-Statement Model'!R141)/'3-Statement Model'!R148</f>
        <v>0.67981997827019325</v>
      </c>
      <c r="N31" s="166">
        <f>('3-Statement Model'!S134+'3-Statement Model'!S141)/'3-Statement Model'!S148</f>
        <v>0.64796025070081908</v>
      </c>
    </row>
    <row r="32" spans="2:29">
      <c r="B32" t="s">
        <v>344</v>
      </c>
      <c r="C32" s="105">
        <f>('3-Statement Model'!H134+'3-Statement Model'!H141)/'3-Statement Model'!H126</f>
        <v>0.60578175246498511</v>
      </c>
      <c r="D32" s="105">
        <f>('3-Statement Model'!I134+'3-Statement Model'!I141)/'3-Statement Model'!I126</f>
        <v>0.55894649876073399</v>
      </c>
      <c r="E32" s="105">
        <f>('3-Statement Model'!J134+'3-Statement Model'!J141)/'3-Statement Model'!J126</f>
        <v>0.53354541054315163</v>
      </c>
      <c r="F32" s="105">
        <f>('3-Statement Model'!K134+'3-Statement Model'!K141)/'3-Statement Model'!K126</f>
        <v>0.51127252251249355</v>
      </c>
      <c r="G32" s="105">
        <f>('3-Statement Model'!L134+'3-Statement Model'!L141)/'3-Statement Model'!L126</f>
        <v>0.48877555767500624</v>
      </c>
      <c r="H32" s="105">
        <f>('3-Statement Model'!M134+'3-Statement Model'!M141)/'3-Statement Model'!M126</f>
        <v>0.47210294565360283</v>
      </c>
      <c r="I32" s="105">
        <f>('3-Statement Model'!N134+'3-Statement Model'!N141)/'3-Statement Model'!N126</f>
        <v>0.45613303461412513</v>
      </c>
      <c r="J32" s="105">
        <f>('3-Statement Model'!O134+'3-Statement Model'!O141)/'3-Statement Model'!O126</f>
        <v>0.44160336086634627</v>
      </c>
      <c r="K32" s="105">
        <f>('3-Statement Model'!P134+'3-Statement Model'!P141)/'3-Statement Model'!P126</f>
        <v>0.42826903205144778</v>
      </c>
      <c r="L32" s="105">
        <f>('3-Statement Model'!Q134+'3-Statement Model'!Q141)/'3-Statement Model'!Q126</f>
        <v>0.41605918162690969</v>
      </c>
      <c r="M32" s="105">
        <f>('3-Statement Model'!R134+'3-Statement Model'!R141)/'3-Statement Model'!R126</f>
        <v>0.40469811471717509</v>
      </c>
      <c r="N32" s="105">
        <f>('3-Statement Model'!S134+'3-Statement Model'!S141)/'3-Statement Model'!S126</f>
        <v>0.39318924738947109</v>
      </c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</row>
    <row r="33" spans="2:14">
      <c r="B33" s="161" t="s">
        <v>345</v>
      </c>
      <c r="C33" s="166">
        <v>2.8</v>
      </c>
      <c r="D33" s="166">
        <v>2.4</v>
      </c>
      <c r="E33" s="166">
        <v>2.2999999999999998</v>
      </c>
      <c r="F33" s="166">
        <v>1.9</v>
      </c>
      <c r="G33" s="166">
        <v>1.5</v>
      </c>
      <c r="H33" s="166">
        <v>1.3</v>
      </c>
      <c r="I33" s="166">
        <v>1.1000000000000001</v>
      </c>
      <c r="J33" s="166">
        <v>0.9</v>
      </c>
      <c r="K33" s="166">
        <v>0.7</v>
      </c>
      <c r="L33" s="166">
        <v>0.5</v>
      </c>
      <c r="M33" s="166">
        <v>0.3</v>
      </c>
      <c r="N33" s="166">
        <v>0.1</v>
      </c>
    </row>
    <row r="34" spans="2:14">
      <c r="B34" t="s">
        <v>346</v>
      </c>
      <c r="C34" s="105">
        <f>'3-Statement Model'!H72/'3-Statement Model'!H77</f>
        <v>9.3488231744115904</v>
      </c>
      <c r="D34" s="105">
        <f>'3-Statement Model'!I72/'3-Statement Model'!I77</f>
        <v>9.2194728348574415</v>
      </c>
      <c r="E34" s="105">
        <f>'3-Statement Model'!J72/'3-Statement Model'!J77</f>
        <v>10.730219057529096</v>
      </c>
      <c r="F34" s="105">
        <f>'3-Statement Model'!K72/'3-Statement Model'!K77</f>
        <v>12.285161373191308</v>
      </c>
      <c r="G34" s="105">
        <f>'3-Statement Model'!L72/'3-Statement Model'!L77</f>
        <v>14.053444369940649</v>
      </c>
      <c r="H34" s="105">
        <f>'3-Statement Model'!M72/'3-Statement Model'!M77</f>
        <v>15.977688654225183</v>
      </c>
      <c r="I34" s="105">
        <f>'3-Statement Model'!N72/'3-Statement Model'!N77</f>
        <v>17.387446233405434</v>
      </c>
      <c r="J34" s="105">
        <f>'3-Statement Model'!O72/'3-Statement Model'!O77</f>
        <v>18.160861964161739</v>
      </c>
      <c r="K34" s="105">
        <f>'3-Statement Model'!P72/'3-Statement Model'!P77</f>
        <v>19.025530019943609</v>
      </c>
      <c r="L34" s="105">
        <f>'3-Statement Model'!Q72/'3-Statement Model'!Q77</f>
        <v>19.816746425736184</v>
      </c>
      <c r="M34" s="105">
        <f>'3-Statement Model'!R72/'3-Statement Model'!R77</f>
        <v>20.830380502975462</v>
      </c>
      <c r="N34" s="105">
        <f>'3-Statement Model'!S72/'3-Statement Model'!S77</f>
        <v>23.490267967809178</v>
      </c>
    </row>
    <row r="35" spans="2:14">
      <c r="B35" s="161" t="s">
        <v>347</v>
      </c>
      <c r="C35" s="166">
        <f>('3-Statement Model'!H134+'3-Statement Model'!H141)/'3-Statement Model'!H150</f>
        <v>0.60578577740570205</v>
      </c>
      <c r="D35" s="166">
        <f>('3-Statement Model'!I134+'3-Statement Model'!I141)/'3-Statement Model'!I150</f>
        <v>0.55894649876073399</v>
      </c>
      <c r="E35" s="166">
        <f>('3-Statement Model'!J134+'3-Statement Model'!J141)/'3-Statement Model'!J150</f>
        <v>0.53354541054315174</v>
      </c>
      <c r="F35" s="166">
        <f>('3-Statement Model'!K134+'3-Statement Model'!K141)/'3-Statement Model'!K150</f>
        <v>0.51127252251249378</v>
      </c>
      <c r="G35" s="166">
        <f>('3-Statement Model'!L134+'3-Statement Model'!L141)/'3-Statement Model'!L150</f>
        <v>0.48877555767500636</v>
      </c>
      <c r="H35" s="166">
        <f>('3-Statement Model'!M134+'3-Statement Model'!M141)/'3-Statement Model'!M150</f>
        <v>0.47210294565360283</v>
      </c>
      <c r="I35" s="166">
        <f>('3-Statement Model'!N134+'3-Statement Model'!N141)/'3-Statement Model'!N150</f>
        <v>0.45613303461412519</v>
      </c>
      <c r="J35" s="166">
        <f>('3-Statement Model'!O134+'3-Statement Model'!O141)/'3-Statement Model'!O150</f>
        <v>0.44160336086634633</v>
      </c>
      <c r="K35" s="166">
        <f>('3-Statement Model'!P134+'3-Statement Model'!P141)/'3-Statement Model'!P150</f>
        <v>0.42826903205144784</v>
      </c>
      <c r="L35" s="166">
        <f>('3-Statement Model'!Q134+'3-Statement Model'!Q141)/'3-Statement Model'!Q150</f>
        <v>0.41605918162690964</v>
      </c>
      <c r="M35" s="166">
        <f>('3-Statement Model'!R134+'3-Statement Model'!R141)/'3-Statement Model'!R150</f>
        <v>0.40469811471717509</v>
      </c>
      <c r="N35" s="166">
        <f>('3-Statement Model'!S134+'3-Statement Model'!S141)/'3-Statement Model'!S150</f>
        <v>0.39318924738947109</v>
      </c>
    </row>
    <row r="37" spans="2:14">
      <c r="B37" s="180" t="s">
        <v>348</v>
      </c>
      <c r="C37" s="181">
        <f>2023</f>
        <v>2023</v>
      </c>
      <c r="D37" s="181">
        <f>C37+1</f>
        <v>2024</v>
      </c>
      <c r="E37" s="182">
        <f t="shared" ref="E37:N37" si="5">D37+1</f>
        <v>2025</v>
      </c>
      <c r="F37" s="182">
        <f t="shared" si="5"/>
        <v>2026</v>
      </c>
      <c r="G37" s="182">
        <f t="shared" si="5"/>
        <v>2027</v>
      </c>
      <c r="H37" s="182">
        <f t="shared" si="5"/>
        <v>2028</v>
      </c>
      <c r="I37" s="182">
        <f t="shared" si="5"/>
        <v>2029</v>
      </c>
      <c r="J37" s="182">
        <f t="shared" si="5"/>
        <v>2030</v>
      </c>
      <c r="K37" s="182">
        <f t="shared" si="5"/>
        <v>2031</v>
      </c>
      <c r="L37" s="182">
        <f t="shared" si="5"/>
        <v>2032</v>
      </c>
      <c r="M37" s="182">
        <f t="shared" si="5"/>
        <v>2033</v>
      </c>
      <c r="N37" s="182">
        <f t="shared" si="5"/>
        <v>2034</v>
      </c>
    </row>
    <row r="38" spans="2:14">
      <c r="B38" s="161" t="s">
        <v>325</v>
      </c>
      <c r="C38" s="166">
        <f>'3-Statement Model'!H98/'3-Statement Model'!H24</f>
        <v>9.4549143131706828E-2</v>
      </c>
      <c r="D38" s="166">
        <f>'3-Statement Model'!I98/'3-Statement Model'!I24</f>
        <v>0.10606047725514518</v>
      </c>
      <c r="E38" s="166">
        <f>'3-Statement Model'!J98/'3-Statement Model'!J24</f>
        <v>0.10081084386017392</v>
      </c>
      <c r="F38" s="166">
        <f>'3-Statement Model'!K98/'3-Statement Model'!K24</f>
        <v>0.10991507317158909</v>
      </c>
      <c r="G38" s="166">
        <f>'3-Statement Model'!L98/'3-Statement Model'!L24</f>
        <v>0.11669178744128852</v>
      </c>
      <c r="H38" s="166">
        <f>'3-Statement Model'!M98/'3-Statement Model'!M24</f>
        <v>0.12209448692767529</v>
      </c>
      <c r="I38" s="166">
        <f>'3-Statement Model'!N98/'3-Statement Model'!N24</f>
        <v>0.12691633801245683</v>
      </c>
      <c r="J38" s="166">
        <f>'3-Statement Model'!O98/'3-Statement Model'!O24</f>
        <v>0.1269267730879583</v>
      </c>
      <c r="K38" s="166">
        <f>'3-Statement Model'!P98/'3-Statement Model'!P24</f>
        <v>0.12800353674270348</v>
      </c>
      <c r="L38" s="166">
        <f>'3-Statement Model'!Q98/'3-Statement Model'!Q24</f>
        <v>0.12903514933345936</v>
      </c>
      <c r="M38" s="166">
        <f>'3-Statement Model'!R98/'3-Statement Model'!R24</f>
        <v>0.13206477414416234</v>
      </c>
      <c r="N38" s="166">
        <f>'3-Statement Model'!S98/'3-Statement Model'!S24</f>
        <v>0.14600777732974848</v>
      </c>
    </row>
    <row r="39" spans="2:14">
      <c r="B39" t="s">
        <v>349</v>
      </c>
      <c r="C39" s="105">
        <f>'3-Statement Model'!H24/(('3-Statement Model'!H126+'3-Statement Model'!G126)/2)</f>
        <v>0.83854504756575254</v>
      </c>
      <c r="D39" s="105">
        <f>'3-Statement Model'!I24/(('3-Statement Model'!I126+'3-Statement Model'!H126)/2)</f>
        <v>0.75822482918654099</v>
      </c>
      <c r="E39" s="105">
        <f>'3-Statement Model'!J24/(('3-Statement Model'!J126+'3-Statement Model'!I126)/2)</f>
        <v>0.69850493216965803</v>
      </c>
      <c r="F39" s="105">
        <f>'3-Statement Model'!K24/(('3-Statement Model'!K126+'3-Statement Model'!J126)/2)</f>
        <v>0.71184038178547693</v>
      </c>
      <c r="G39" s="105">
        <f>'3-Statement Model'!L24/(('3-Statement Model'!L126+'3-Statement Model'!K126)/2)</f>
        <v>0.73119856263090577</v>
      </c>
      <c r="H39" s="105">
        <f>'3-Statement Model'!M24/(('3-Statement Model'!M126+'3-Statement Model'!L126)/2)</f>
        <v>0.7427380105083129</v>
      </c>
      <c r="I39" s="105">
        <f>'3-Statement Model'!N24/(('3-Statement Model'!N126+'3-Statement Model'!M126)/2)</f>
        <v>0.74686759708997297</v>
      </c>
      <c r="J39" s="105">
        <f>'3-Statement Model'!O24/(('3-Statement Model'!O126+'3-Statement Model'!N126)/2)</f>
        <v>0.74863907756721904</v>
      </c>
      <c r="K39" s="105">
        <f>'3-Statement Model'!P24/(('3-Statement Model'!P126+'3-Statement Model'!O126)/2)</f>
        <v>0.7485951018368735</v>
      </c>
      <c r="L39" s="105">
        <f>'3-Statement Model'!Q24/(('3-Statement Model'!Q126+'3-Statement Model'!P126)/2)</f>
        <v>0.7467043533839004</v>
      </c>
      <c r="M39" s="105">
        <f>'3-Statement Model'!R24/(('3-Statement Model'!R126+'3-Statement Model'!Q126)/2)</f>
        <v>0.74287279376639204</v>
      </c>
      <c r="N39" s="105">
        <f>'3-Statement Model'!S24/(('3-Statement Model'!S126+'3-Statement Model'!R126)/2)</f>
        <v>0.7361132139432558</v>
      </c>
    </row>
    <row r="40" spans="2:14">
      <c r="B40" s="161" t="s">
        <v>350</v>
      </c>
      <c r="C40" s="166">
        <f>(('3-Statement Model'!H126+'3-Statement Model'!G126)/2)/(('3-Statement Model'!H148+'3-Statement Model'!G148)/2)</f>
        <v>2.4591066300927502</v>
      </c>
      <c r="D40" s="166">
        <f>(('3-Statement Model'!I126+'3-Statement Model'!H126)/2)/(('3-Statement Model'!I148+'3-Statement Model'!H148)/2)</f>
        <v>2.3904468412942994</v>
      </c>
      <c r="E40" s="166">
        <f>(('3-Statement Model'!J126+'3-Statement Model'!I126)/2)/(('3-Statement Model'!J148+'3-Statement Model'!I148)/2)</f>
        <v>2.2029921391762479</v>
      </c>
      <c r="F40" s="166">
        <f>(('3-Statement Model'!K126+'3-Statement Model'!J126)/2)/(('3-Statement Model'!K148+'3-Statement Model'!J148)/2)</f>
        <v>2.0929311362616811</v>
      </c>
      <c r="G40" s="166">
        <f>(('3-Statement Model'!L126+'3-Statement Model'!K126)/2)/(('3-Statement Model'!L148+'3-Statement Model'!K148)/2)</f>
        <v>1.9992371106737679</v>
      </c>
      <c r="H40" s="166">
        <f>(('3-Statement Model'!M126+'3-Statement Model'!L126)/2)/(('3-Statement Model'!M148+'3-Statement Model'!L148)/2)</f>
        <v>1.9239520113563098</v>
      </c>
      <c r="I40" s="166">
        <f>(('3-Statement Model'!N126+'3-Statement Model'!M126)/2)/(('3-Statement Model'!N148+'3-Statement Model'!M148)/2)</f>
        <v>1.8654209599042477</v>
      </c>
      <c r="J40" s="166">
        <f>(('3-Statement Model'!O126+'3-Statement Model'!N126)/2)/(('3-Statement Model'!O148+'3-Statement Model'!N148)/2)</f>
        <v>1.8139129118335613</v>
      </c>
      <c r="K40" s="166">
        <f>(('3-Statement Model'!P126+'3-Statement Model'!O126)/2)/(('3-Statement Model'!P148+'3-Statement Model'!O148)/2)</f>
        <v>1.7692721130602718</v>
      </c>
      <c r="L40" s="166">
        <f>(('3-Statement Model'!Q126+'3-Statement Model'!P126)/2)/(('3-Statement Model'!Q148+'3-Statement Model'!P148)/2)</f>
        <v>1.7302358855920814</v>
      </c>
      <c r="M40" s="166">
        <f>(('3-Statement Model'!R126+'3-Statement Model'!Q126)/2)/(('3-Statement Model'!R148+'3-Statement Model'!Q148)/2)</f>
        <v>1.695702448800058</v>
      </c>
      <c r="N40" s="166">
        <f>(('3-Statement Model'!S126+'3-Statement Model'!R126)/2)/(('3-Statement Model'!S148+'3-Statement Model'!R148)/2)</f>
        <v>1.663444990039765</v>
      </c>
    </row>
    <row r="41" spans="2:14">
      <c r="B41" t="s">
        <v>326</v>
      </c>
      <c r="C41" s="20">
        <f>C38*C39*C40</f>
        <v>0.19496711099694514</v>
      </c>
      <c r="D41" s="20">
        <f t="shared" ref="D41:N41" si="6">D38*D39*D40</f>
        <v>0.19223420647149433</v>
      </c>
      <c r="E41" s="20">
        <f t="shared" si="6"/>
        <v>0.15512781471587722</v>
      </c>
      <c r="F41" s="20">
        <f t="shared" si="6"/>
        <v>0.16375509211661329</v>
      </c>
      <c r="G41" s="20">
        <f t="shared" si="6"/>
        <v>0.17058464106531709</v>
      </c>
      <c r="H41" s="20">
        <f t="shared" si="6"/>
        <v>0.17447208037692766</v>
      </c>
      <c r="I41" s="20">
        <f t="shared" si="6"/>
        <v>0.17682269391446909</v>
      </c>
      <c r="J41" s="20">
        <f t="shared" si="6"/>
        <v>0.17236225365263558</v>
      </c>
      <c r="K41" s="20">
        <f t="shared" si="6"/>
        <v>0.16953664432373017</v>
      </c>
      <c r="L41" s="20">
        <f t="shared" si="6"/>
        <v>0.16671014424012448</v>
      </c>
      <c r="M41" s="20">
        <f t="shared" si="6"/>
        <v>0.16636083587122791</v>
      </c>
      <c r="N41" s="20">
        <f t="shared" si="6"/>
        <v>0.17878416353863139</v>
      </c>
    </row>
    <row r="43" spans="2:14">
      <c r="B43" s="3" t="s">
        <v>351</v>
      </c>
    </row>
    <row r="45" spans="2:14">
      <c r="B45" s="180" t="s">
        <v>352</v>
      </c>
      <c r="C45" s="181">
        <f>2023</f>
        <v>2023</v>
      </c>
      <c r="D45" s="181">
        <f>C45+1</f>
        <v>2024</v>
      </c>
      <c r="E45" s="182">
        <f t="shared" ref="E45:N45" si="7">D45+1</f>
        <v>2025</v>
      </c>
      <c r="F45" s="182">
        <f t="shared" si="7"/>
        <v>2026</v>
      </c>
      <c r="G45" s="182">
        <f t="shared" si="7"/>
        <v>2027</v>
      </c>
      <c r="H45" s="182">
        <f t="shared" si="7"/>
        <v>2028</v>
      </c>
      <c r="I45" s="182">
        <f t="shared" si="7"/>
        <v>2029</v>
      </c>
      <c r="J45" s="182">
        <f t="shared" si="7"/>
        <v>2030</v>
      </c>
      <c r="K45" s="182">
        <f t="shared" si="7"/>
        <v>2031</v>
      </c>
      <c r="L45" s="182">
        <f t="shared" si="7"/>
        <v>2032</v>
      </c>
      <c r="M45" s="182">
        <f t="shared" si="7"/>
        <v>2033</v>
      </c>
      <c r="N45" s="182">
        <f t="shared" si="7"/>
        <v>2034</v>
      </c>
    </row>
    <row r="46" spans="2:14">
      <c r="B46" s="167" t="s">
        <v>2</v>
      </c>
      <c r="C46" s="168">
        <f>'3-Statement Model'!H24</f>
        <v>11238.6</v>
      </c>
      <c r="D46" s="168">
        <f>'3-Statement Model'!I24</f>
        <v>11763.099999999999</v>
      </c>
      <c r="E46" s="168">
        <f>'3-Statement Model'!J24</f>
        <v>11315.207727181467</v>
      </c>
      <c r="F46" s="168">
        <f>'3-Statement Model'!K24</f>
        <v>11911.479432572989</v>
      </c>
      <c r="G46" s="168">
        <f>'3-Statement Model'!L24</f>
        <v>12706.363054759859</v>
      </c>
      <c r="H46" s="168">
        <f>'3-Statement Model'!M24</f>
        <v>13481.256793571414</v>
      </c>
      <c r="I46" s="168">
        <f>'3-Statement Model'!N24</f>
        <v>14224.394215829911</v>
      </c>
      <c r="J46" s="168">
        <f>'3-Statement Model'!O24</f>
        <v>14931.593253551375</v>
      </c>
      <c r="K46" s="168">
        <f>'3-Statement Model'!P24</f>
        <v>15593.173921409709</v>
      </c>
      <c r="L46" s="168">
        <f>'3-Statement Model'!Q24</f>
        <v>16199.665315125631</v>
      </c>
      <c r="M46" s="168">
        <f>'3-Statement Model'!R24</f>
        <v>16742.024819430873</v>
      </c>
      <c r="N46" s="168">
        <f>'3-Statement Model'!S24</f>
        <v>17211.857761627281</v>
      </c>
    </row>
    <row r="47" spans="2:14">
      <c r="B47" t="s">
        <v>10</v>
      </c>
      <c r="C47" s="30">
        <f>'3-Statement Model'!H29</f>
        <v>5213.8</v>
      </c>
      <c r="D47" s="30">
        <f>'3-Statement Model'!I29</f>
        <v>5347.1</v>
      </c>
      <c r="E47" s="30">
        <f>'3-Statement Model'!J29</f>
        <v>5091.8434772316605</v>
      </c>
      <c r="F47" s="30">
        <f>'3-Statement Model'!K29</f>
        <v>5360.1657446578456</v>
      </c>
      <c r="G47" s="30">
        <f>'3-Statement Model'!L29</f>
        <v>5717.8633746419364</v>
      </c>
      <c r="H47" s="30">
        <f>'3-Statement Model'!M29</f>
        <v>6066.5655571071366</v>
      </c>
      <c r="I47" s="30">
        <f>'3-Statement Model'!N29</f>
        <v>6400.9773971234599</v>
      </c>
      <c r="J47" s="30">
        <f>'3-Statement Model'!O29</f>
        <v>6719.2169640981192</v>
      </c>
      <c r="K47" s="30">
        <f>'3-Statement Model'!P29</f>
        <v>7016.928264634369</v>
      </c>
      <c r="L47" s="30">
        <f>'3-Statement Model'!Q29</f>
        <v>7289.8493918065342</v>
      </c>
      <c r="M47" s="30">
        <f>'3-Statement Model'!R29</f>
        <v>7533.9111687438935</v>
      </c>
      <c r="N47" s="30">
        <f>'3-Statement Model'!S29</f>
        <v>7745.3359927322772</v>
      </c>
    </row>
    <row r="48" spans="2:14">
      <c r="B48" s="167" t="s">
        <v>12</v>
      </c>
      <c r="C48" s="168">
        <f>'3-Statement Model'!H32</f>
        <v>6024.8</v>
      </c>
      <c r="D48" s="168">
        <f>'3-Statement Model'!I32</f>
        <v>6415.9999999999982</v>
      </c>
      <c r="E48" s="168">
        <f>'3-Statement Model'!J32</f>
        <v>6223.3642499498064</v>
      </c>
      <c r="F48" s="168">
        <f>'3-Statement Model'!K32</f>
        <v>6551.3136879151434</v>
      </c>
      <c r="G48" s="168">
        <f>'3-Statement Model'!L32</f>
        <v>6988.4996801179223</v>
      </c>
      <c r="H48" s="168">
        <f>'3-Statement Model'!M32</f>
        <v>7414.6912364642776</v>
      </c>
      <c r="I48" s="168">
        <f>'3-Statement Model'!N32</f>
        <v>7823.4168187064506</v>
      </c>
      <c r="J48" s="168">
        <f>'3-Statement Model'!O32</f>
        <v>8212.3762894532556</v>
      </c>
      <c r="K48" s="168">
        <f>'3-Statement Model'!P32</f>
        <v>8576.2456567753397</v>
      </c>
      <c r="L48" s="168">
        <f>'3-Statement Model'!Q32</f>
        <v>8909.8159233190963</v>
      </c>
      <c r="M48" s="168">
        <f>'3-Statement Model'!R32</f>
        <v>9208.1136506869807</v>
      </c>
      <c r="N48" s="168">
        <f>'3-Statement Model'!S32</f>
        <v>9466.5217688950033</v>
      </c>
    </row>
    <row r="49" spans="2:14">
      <c r="B49" t="s">
        <v>353</v>
      </c>
      <c r="C49" s="30">
        <f>'3-Statement Model'!H52</f>
        <v>3980.1</v>
      </c>
      <c r="D49" s="30">
        <f>'3-Statement Model'!I52</f>
        <v>4146.5</v>
      </c>
      <c r="E49" s="30">
        <f>'3-Statement Model'!J52</f>
        <v>4050.8443663309649</v>
      </c>
      <c r="F49" s="30">
        <f>'3-Statement Model'!K52</f>
        <v>4133.283363102827</v>
      </c>
      <c r="G49" s="30">
        <f>'3-Statement Model'!L52</f>
        <v>4320.1634386183514</v>
      </c>
      <c r="H49" s="30">
        <f>'3-Statement Model'!M52</f>
        <v>4543.1835394335667</v>
      </c>
      <c r="I49" s="30">
        <f>'3-Statement Model'!N52</f>
        <v>4793.6208507346801</v>
      </c>
      <c r="J49" s="30">
        <f>'3-Statement Model'!O52</f>
        <v>5031.9469264468134</v>
      </c>
      <c r="K49" s="30">
        <f>'3-Statement Model'!P52</f>
        <v>5254.8996115150712</v>
      </c>
      <c r="L49" s="30">
        <f>'3-Statement Model'!Q52</f>
        <v>5459.2872111973375</v>
      </c>
      <c r="M49" s="30">
        <f>'3-Statement Model'!R52</f>
        <v>5642.0623641482034</v>
      </c>
      <c r="N49" s="30">
        <f>'3-Statement Model'!S52</f>
        <v>5800.3960656683939</v>
      </c>
    </row>
    <row r="50" spans="2:14">
      <c r="B50" s="167" t="s">
        <v>21</v>
      </c>
      <c r="C50" s="168">
        <f>'3-Statement Model'!H55</f>
        <v>2044.7000000000003</v>
      </c>
      <c r="D50" s="168">
        <f>'3-Statement Model'!I55</f>
        <v>2269.4999999999982</v>
      </c>
      <c r="E50" s="168">
        <f>'3-Statement Model'!J55</f>
        <v>2172.5198836188415</v>
      </c>
      <c r="F50" s="168">
        <f>'3-Statement Model'!K55</f>
        <v>2418.0303248123164</v>
      </c>
      <c r="G50" s="168">
        <f>'3-Statement Model'!L55</f>
        <v>2668.3362414995709</v>
      </c>
      <c r="H50" s="168">
        <f>'3-Statement Model'!M55</f>
        <v>2871.5076970307109</v>
      </c>
      <c r="I50" s="168">
        <f>'3-Statement Model'!N55</f>
        <v>3029.7959679717706</v>
      </c>
      <c r="J50" s="168">
        <f>'3-Statement Model'!O55</f>
        <v>3180.4293630064421</v>
      </c>
      <c r="K50" s="168">
        <f>'3-Statement Model'!P55</f>
        <v>3321.3460452602685</v>
      </c>
      <c r="L50" s="168">
        <f>'3-Statement Model'!Q55</f>
        <v>3450.5287121217589</v>
      </c>
      <c r="M50" s="168">
        <f>'3-Statement Model'!R55</f>
        <v>3566.0512865387773</v>
      </c>
      <c r="N50" s="168">
        <f>'3-Statement Model'!S55</f>
        <v>3666.1257032266094</v>
      </c>
    </row>
    <row r="51" spans="2:14">
      <c r="B51" t="s">
        <v>23</v>
      </c>
      <c r="C51" s="30">
        <f>'3-Statement Model'!H60</f>
        <v>306</v>
      </c>
      <c r="D51" s="30">
        <f>'3-Statement Model'!I60</f>
        <v>341.5</v>
      </c>
      <c r="E51" s="30">
        <f>'3-Statement Model'!J60</f>
        <v>383.24313451889554</v>
      </c>
      <c r="F51" s="30">
        <f>'3-Statement Model'!K60</f>
        <v>423.62303136421127</v>
      </c>
      <c r="G51" s="30">
        <f>'3-Statement Model'!L60</f>
        <v>465.19318282182792</v>
      </c>
      <c r="H51" s="30">
        <f>'3-Statement Model'!M60</f>
        <v>474.047737507075</v>
      </c>
      <c r="I51" s="30">
        <f>'3-Statement Model'!N60</f>
        <v>438.18835076413126</v>
      </c>
      <c r="J51" s="30">
        <f>'3-Statement Model'!O60</f>
        <v>481.25332304832762</v>
      </c>
      <c r="K51" s="30">
        <f>'3-Statement Model'!P60</f>
        <v>502.07297086498852</v>
      </c>
      <c r="L51" s="30">
        <f>'3-Statement Model'!Q60</f>
        <v>521.07451846224558</v>
      </c>
      <c r="M51" s="30">
        <f>'3-Statement Model'!R60</f>
        <v>496.03736815894399</v>
      </c>
      <c r="N51" s="30">
        <f>'3-Statement Model'!S60</f>
        <v>320.73893523756914</v>
      </c>
    </row>
    <row r="52" spans="2:14">
      <c r="B52" t="s">
        <v>24</v>
      </c>
      <c r="C52" s="30">
        <f>'3-Statement Model'!H63</f>
        <v>179.3</v>
      </c>
      <c r="D52" s="30">
        <f>'3-Statement Model'!I63</f>
        <v>214.1</v>
      </c>
      <c r="E52" s="30">
        <f>'3-Statement Model'!J63</f>
        <v>215.29748413755073</v>
      </c>
      <c r="F52" s="30">
        <f>'3-Statement Model'!K63</f>
        <v>217.06199563809881</v>
      </c>
      <c r="G52" s="30">
        <f>'3-Statement Model'!L63</f>
        <v>218.94425752396938</v>
      </c>
      <c r="H52" s="30">
        <f>'3-Statement Model'!M63</f>
        <v>220.94130858624538</v>
      </c>
      <c r="I52" s="30">
        <f>'3-Statement Model'!N63</f>
        <v>223.04844459099104</v>
      </c>
      <c r="J52" s="30">
        <f>'3-Statement Model'!O63</f>
        <v>225.26034179205152</v>
      </c>
      <c r="K52" s="30">
        <f>'3-Statement Model'!P63</f>
        <v>227.57024249499307</v>
      </c>
      <c r="L52" s="30">
        <f>'3-Statement Model'!Q63</f>
        <v>229.96998602940261</v>
      </c>
      <c r="M52" s="30">
        <f>'3-Statement Model'!R63</f>
        <v>232.45007219364211</v>
      </c>
      <c r="N52" s="30">
        <f>'3-Statement Model'!S63</f>
        <v>145.48674152722327</v>
      </c>
    </row>
    <row r="53" spans="2:14">
      <c r="B53" s="167" t="s">
        <v>26</v>
      </c>
      <c r="C53" s="168">
        <f>'3-Statement Model'!H72</f>
        <v>1549.1000000000004</v>
      </c>
      <c r="D53" s="168">
        <f>'3-Statement Model'!I72</f>
        <v>1713.8999999999983</v>
      </c>
      <c r="E53" s="168">
        <f>'3-Statement Model'!J72</f>
        <v>1573.9792649623953</v>
      </c>
      <c r="F53" s="168">
        <f>'3-Statement Model'!K72</f>
        <v>1777.3452978100063</v>
      </c>
      <c r="G53" s="168">
        <f>'3-Statement Model'!L72</f>
        <v>1984.1988011537735</v>
      </c>
      <c r="H53" s="168">
        <f>'3-Statement Model'!M72</f>
        <v>2176.5186509373907</v>
      </c>
      <c r="I53" s="168">
        <f>'3-Statement Model'!N72</f>
        <v>2368.5591726166485</v>
      </c>
      <c r="J53" s="168">
        <f>'3-Statement Model'!O72</f>
        <v>2473.9156981660631</v>
      </c>
      <c r="K53" s="168">
        <f>'3-Statement Model'!P72</f>
        <v>2591.702831900287</v>
      </c>
      <c r="L53" s="168">
        <f>'3-Statement Model'!Q72</f>
        <v>2699.4842076301106</v>
      </c>
      <c r="M53" s="168">
        <f>'3-Statement Model'!R72</f>
        <v>2837.5638461861913</v>
      </c>
      <c r="N53" s="168">
        <f>'3-Statement Model'!S72</f>
        <v>3199.9000264618171</v>
      </c>
    </row>
    <row r="54" spans="2:14">
      <c r="B54" t="s">
        <v>354</v>
      </c>
      <c r="C54" s="30">
        <f>'3-Statement Model'!H77-'3-Statement Model'!H80-'3-Statement Model'!H83+'3-Statement Model'!H86-'3-Statement Model'!H89</f>
        <v>212.7</v>
      </c>
      <c r="D54" s="30">
        <f>'3-Statement Model'!I77-'3-Statement Model'!I80-'3-Statement Model'!I83+'3-Statement Model'!I86-'3-Statement Model'!I89</f>
        <v>150.9</v>
      </c>
      <c r="E54" s="30">
        <f>'3-Statement Model'!J77-'3-Statement Model'!J80-'3-Statement Model'!J83+'3-Statement Model'!J86-'3-Statement Model'!J89</f>
        <v>144.9096237075081</v>
      </c>
      <c r="F54" s="30">
        <f>'3-Statement Model'!K77-'3-Statement Model'!K80-'3-Statement Model'!K83+'3-Statement Model'!K86-'3-Statement Model'!K89</f>
        <v>137.10842579595018</v>
      </c>
      <c r="G54" s="30">
        <f>'3-Statement Model'!L77-'3-Statement Model'!L80-'3-Statement Model'!L83+'3-Statement Model'!L86-'3-Statement Model'!L89</f>
        <v>126.62890474362146</v>
      </c>
      <c r="H54" s="30">
        <f>'3-Statement Model'!M77-'3-Statement Model'!M80-'3-Statement Model'!M83+'3-Statement Model'!M86-'3-Statement Model'!M89</f>
        <v>114.41710693118412</v>
      </c>
      <c r="I54" s="30">
        <f>'3-Statement Model'!N77-'3-Statement Model'!N80-'3-Statement Model'!N83+'3-Statement Model'!N86-'3-Statement Model'!N89</f>
        <v>106.85955574414442</v>
      </c>
      <c r="J54" s="30">
        <f>'3-Statement Model'!O77-'3-Statement Model'!O80-'3-Statement Model'!O83+'3-Statement Model'!O86-'3-Statement Model'!O89</f>
        <v>99.575190893599199</v>
      </c>
      <c r="K54" s="30">
        <f>'3-Statement Model'!P77-'3-Statement Model'!P80-'3-Statement Model'!P83+'3-Statement Model'!P86-'3-Statement Model'!P89</f>
        <v>91.12656918080441</v>
      </c>
      <c r="L54" s="30">
        <f>'3-Statement Model'!Q77-'3-Statement Model'!Q80-'3-Statement Model'!Q83+'3-Statement Model'!Q86-'3-Statement Model'!Q89</f>
        <v>80.712243604322296</v>
      </c>
      <c r="M54" s="30">
        <f>'3-Statement Model'!R77-'3-Statement Model'!R80-'3-Statement Model'!R83+'3-Statement Model'!R86-'3-Statement Model'!R89</f>
        <v>67.571389861826589</v>
      </c>
      <c r="N54" s="30">
        <f>'3-Statement Model'!S77-'3-Statement Model'!S80-'3-Statement Model'!S83+'3-Statement Model'!S86-'3-Statement Model'!S89</f>
        <v>51.518538603206885</v>
      </c>
    </row>
    <row r="55" spans="2:14">
      <c r="B55" s="167" t="s">
        <v>33</v>
      </c>
      <c r="C55" s="168">
        <f>'3-Statement Model'!H92</f>
        <v>1336.4000000000003</v>
      </c>
      <c r="D55" s="168">
        <f>'3-Statement Model'!I92</f>
        <v>1562.999999999998</v>
      </c>
      <c r="E55" s="168">
        <f>'3-Statement Model'!J92</f>
        <v>1429.0696412548873</v>
      </c>
      <c r="F55" s="168">
        <f>'3-Statement Model'!K92</f>
        <v>1640.2368720140562</v>
      </c>
      <c r="G55" s="168">
        <f>'3-Statement Model'!L92</f>
        <v>1857.5698964101521</v>
      </c>
      <c r="H55" s="168">
        <f>'3-Statement Model'!M92</f>
        <v>2062.1015440062065</v>
      </c>
      <c r="I55" s="168">
        <f>'3-Statement Model'!N92</f>
        <v>2261.6996168725041</v>
      </c>
      <c r="J55" s="168">
        <f>'3-Statement Model'!O92</f>
        <v>2374.3405072724636</v>
      </c>
      <c r="K55" s="168">
        <f>'3-Statement Model'!P92</f>
        <v>2500.5762627194827</v>
      </c>
      <c r="L55" s="168">
        <f>'3-Statement Model'!Q92</f>
        <v>2618.7719640257883</v>
      </c>
      <c r="M55" s="168">
        <f>'3-Statement Model'!R92</f>
        <v>2769.9924563243644</v>
      </c>
      <c r="N55" s="168">
        <f>'3-Statement Model'!S92</f>
        <v>3148.3814878586099</v>
      </c>
    </row>
    <row r="56" spans="2:14">
      <c r="B56" t="s">
        <v>355</v>
      </c>
      <c r="C56" s="30">
        <f>'3-Statement Model'!H95</f>
        <v>273.8</v>
      </c>
      <c r="D56" s="30">
        <f>'3-Statement Model'!I95</f>
        <v>315.39999999999998</v>
      </c>
      <c r="E56" s="30">
        <f>'3-Statement Model'!J95</f>
        <v>288.37400182456304</v>
      </c>
      <c r="F56" s="30">
        <f>'3-Statement Model'!K95</f>
        <v>330.98573860091744</v>
      </c>
      <c r="G56" s="30">
        <f>'3-Statement Model'!L95</f>
        <v>374.84167967227302</v>
      </c>
      <c r="H56" s="30">
        <f>'3-Statement Model'!M95</f>
        <v>416.11441265486781</v>
      </c>
      <c r="I56" s="30">
        <f>'3-Statement Model'!N95</f>
        <v>456.39159255379957</v>
      </c>
      <c r="J56" s="30">
        <f>'3-Statement Model'!O95</f>
        <v>479.12155853725909</v>
      </c>
      <c r="K56" s="30">
        <f>'3-Statement Model'!P95</f>
        <v>504.59485173494937</v>
      </c>
      <c r="L56" s="30">
        <f>'3-Statement Model'!Q95</f>
        <v>528.44573093649058</v>
      </c>
      <c r="M56" s="30">
        <f>'3-Statement Model'!R95</f>
        <v>558.9607298302659</v>
      </c>
      <c r="N56" s="30">
        <f>'3-Statement Model'!S95</f>
        <v>635.31639236763078</v>
      </c>
    </row>
    <row r="57" spans="2:14">
      <c r="B57" s="167" t="s">
        <v>36</v>
      </c>
      <c r="C57" s="168">
        <f>'3-Statement Model'!H98</f>
        <v>1062.6000000000004</v>
      </c>
      <c r="D57" s="168">
        <f>'3-Statement Model'!I98</f>
        <v>1247.5999999999981</v>
      </c>
      <c r="E57" s="168">
        <f>'3-Statement Model'!J98</f>
        <v>1140.6956394303243</v>
      </c>
      <c r="F57" s="168">
        <f>'3-Statement Model'!K98</f>
        <v>1309.2511334131386</v>
      </c>
      <c r="G57" s="168">
        <f>'3-Statement Model'!L98</f>
        <v>1482.7282167378789</v>
      </c>
      <c r="H57" s="168">
        <f>'3-Statement Model'!M98</f>
        <v>1645.9871313513386</v>
      </c>
      <c r="I57" s="168">
        <f>'3-Statement Model'!N98</f>
        <v>1805.3080243187046</v>
      </c>
      <c r="J57" s="168">
        <f>'3-Statement Model'!O98</f>
        <v>1895.2189487352045</v>
      </c>
      <c r="K57" s="168">
        <f>'3-Statement Model'!P98</f>
        <v>1995.9814109845333</v>
      </c>
      <c r="L57" s="168">
        <f>'3-Statement Model'!Q98</f>
        <v>2090.3262330892976</v>
      </c>
      <c r="M57" s="168">
        <f>'3-Statement Model'!R98</f>
        <v>2211.0317264940986</v>
      </c>
      <c r="N57" s="168">
        <f>'3-Statement Model'!S98</f>
        <v>2513.0650954909793</v>
      </c>
    </row>
    <row r="59" spans="2:14">
      <c r="B59" s="3" t="s">
        <v>356</v>
      </c>
    </row>
    <row r="61" spans="2:14">
      <c r="B61" s="180" t="s">
        <v>352</v>
      </c>
      <c r="C61" s="181">
        <f>2023</f>
        <v>2023</v>
      </c>
      <c r="D61" s="181">
        <f>C61+1</f>
        <v>2024</v>
      </c>
      <c r="E61" s="182">
        <f t="shared" ref="E61:N61" si="8">D61+1</f>
        <v>2025</v>
      </c>
      <c r="F61" s="182">
        <f t="shared" si="8"/>
        <v>2026</v>
      </c>
      <c r="G61" s="182">
        <f t="shared" si="8"/>
        <v>2027</v>
      </c>
      <c r="H61" s="182">
        <f t="shared" si="8"/>
        <v>2028</v>
      </c>
      <c r="I61" s="182">
        <f t="shared" si="8"/>
        <v>2029</v>
      </c>
      <c r="J61" s="182">
        <f t="shared" si="8"/>
        <v>2030</v>
      </c>
      <c r="K61" s="182">
        <f t="shared" si="8"/>
        <v>2031</v>
      </c>
      <c r="L61" s="182">
        <f t="shared" si="8"/>
        <v>2032</v>
      </c>
      <c r="M61" s="182">
        <f t="shared" si="8"/>
        <v>2033</v>
      </c>
      <c r="N61" s="182">
        <f t="shared" si="8"/>
        <v>2034</v>
      </c>
    </row>
    <row r="62" spans="2:14">
      <c r="B62" t="s">
        <v>42</v>
      </c>
      <c r="C62" s="30">
        <f>'3-Statement Model'!H111</f>
        <v>643.9</v>
      </c>
      <c r="D62" s="30">
        <f>'3-Statement Model'!I111</f>
        <v>707.5</v>
      </c>
      <c r="E62" s="30">
        <f>'3-Statement Model'!J111</f>
        <v>987.49964125922247</v>
      </c>
      <c r="F62" s="30">
        <f>'3-Statement Model'!K111</f>
        <v>1325.8384530704029</v>
      </c>
      <c r="G62" s="30">
        <f>'3-Statement Model'!L111</f>
        <v>1676.2598848662672</v>
      </c>
      <c r="H62" s="30">
        <f>'3-Statement Model'!M111</f>
        <v>2041.8152998988699</v>
      </c>
      <c r="I62" s="30">
        <f>'3-Statement Model'!N111</f>
        <v>2394.1568124190107</v>
      </c>
      <c r="J62" s="30">
        <f>'3-Statement Model'!O111</f>
        <v>2802.8129154660483</v>
      </c>
      <c r="K62" s="30">
        <f>'3-Statement Model'!P111</f>
        <v>3306.5492467427894</v>
      </c>
      <c r="L62" s="30">
        <f>'3-Statement Model'!Q111</f>
        <v>3942.1665419267811</v>
      </c>
      <c r="M62" s="30">
        <f>'3-Statement Model'!R111</f>
        <v>4718.635871617148</v>
      </c>
      <c r="N62" s="30">
        <f>'3-Statement Model'!S111</f>
        <v>5430.6121015805402</v>
      </c>
    </row>
    <row r="63" spans="2:14">
      <c r="B63" t="s">
        <v>357</v>
      </c>
      <c r="C63" s="30">
        <f>'3-Statement Model'!H112</f>
        <v>2009.2</v>
      </c>
      <c r="D63" s="30">
        <f>'3-Statement Model'!I112</f>
        <v>2175</v>
      </c>
      <c r="E63" s="30">
        <f>'3-Statement Model'!J112</f>
        <v>2139.0392689740306</v>
      </c>
      <c r="F63" s="30">
        <f>'3-Statement Model'!K112</f>
        <v>2186.4907451572335</v>
      </c>
      <c r="G63" s="30">
        <f>'3-Statement Model'!L112</f>
        <v>2259.8619536400356</v>
      </c>
      <c r="H63" s="30">
        <f>'3-Statement Model'!M112</f>
        <v>2397.6789568932304</v>
      </c>
      <c r="I63" s="30">
        <f>'3-Statement Model'!N112</f>
        <v>2529.8480110632195</v>
      </c>
      <c r="J63" s="30">
        <f>'3-Statement Model'!O112</f>
        <v>2655.6253237458518</v>
      </c>
      <c r="K63" s="30">
        <f>'3-Statement Model'!P112</f>
        <v>2773.289282670491</v>
      </c>
      <c r="L63" s="30">
        <f>'3-Statement Model'!Q112</f>
        <v>2881.1554612112736</v>
      </c>
      <c r="M63" s="30">
        <f>'3-Statement Model'!R112</f>
        <v>2977.6156051322641</v>
      </c>
      <c r="N63" s="30">
        <f>'3-Statement Model'!S112</f>
        <v>3061.1766985828936</v>
      </c>
    </row>
    <row r="64" spans="2:14">
      <c r="B64" t="s">
        <v>44</v>
      </c>
      <c r="C64" s="30">
        <f>'3-Statement Model'!H113</f>
        <v>1240.7</v>
      </c>
      <c r="D64" s="30">
        <f>'3-Statement Model'!I113</f>
        <v>1348.9</v>
      </c>
      <c r="E64" s="30">
        <f>'3-Statement Model'!J113</f>
        <v>1395.0256102004548</v>
      </c>
      <c r="F64" s="30">
        <f>'3-Statement Model'!K113</f>
        <v>1395.1116321712202</v>
      </c>
      <c r="G64" s="30">
        <f>'3-Statement Model'!L113</f>
        <v>1384.5803327946699</v>
      </c>
      <c r="H64" s="30">
        <f>'3-Statement Model'!M113</f>
        <v>1469.0185489970863</v>
      </c>
      <c r="I64" s="30">
        <f>'3-Statement Model'!N113</f>
        <v>1549.9963594837307</v>
      </c>
      <c r="J64" s="30">
        <f>'3-Statement Model'!O113</f>
        <v>1627.0580548548267</v>
      </c>
      <c r="K64" s="30">
        <f>'3-Statement Model'!P113</f>
        <v>1699.1488315252345</v>
      </c>
      <c r="L64" s="30">
        <f>'3-Statement Model'!Q113</f>
        <v>1765.2366689441194</v>
      </c>
      <c r="M64" s="30">
        <f>'3-Statement Model'!R113</f>
        <v>1824.336216133903</v>
      </c>
      <c r="N64" s="30">
        <f>'3-Statement Model'!S113</f>
        <v>1875.532726784566</v>
      </c>
    </row>
    <row r="65" spans="2:14">
      <c r="B65" t="s">
        <v>46</v>
      </c>
      <c r="C65" s="30">
        <f>'3-Statement Model'!H114+'3-Statement Model'!H115+'3-Statement Model'!H116</f>
        <v>307.60000000000002</v>
      </c>
      <c r="D65" s="30">
        <f>'3-Statement Model'!I114+'3-Statement Model'!I115+'3-Statement Model'!I116</f>
        <v>331.9</v>
      </c>
      <c r="E65" s="30">
        <f>'3-Statement Model'!J114+'3-Statement Model'!J115+'3-Statement Model'!J116</f>
        <v>307.20163210679891</v>
      </c>
      <c r="F65" s="30">
        <f>'3-Statement Model'!K114+'3-Statement Model'!K115+'3-Statement Model'!K116</f>
        <v>320.31260426545754</v>
      </c>
      <c r="G65" s="30">
        <f>'3-Statement Model'!L114+'3-Statement Model'!L115+'3-Statement Model'!L116</f>
        <v>337.79070518091635</v>
      </c>
      <c r="H65" s="30">
        <f>'3-Statement Model'!M114+'3-Statement Model'!M115+'3-Statement Model'!M116</f>
        <v>354.82926351533575</v>
      </c>
      <c r="I65" s="30">
        <f>'3-Statement Model'!N114+'3-Statement Model'!N115+'3-Statement Model'!N116</f>
        <v>371.16955597796556</v>
      </c>
      <c r="J65" s="30">
        <f>'3-Statement Model'!O114+'3-Statement Model'!O115+'3-Statement Model'!O116</f>
        <v>386.71962620661759</v>
      </c>
      <c r="K65" s="30">
        <f>'3-Statement Model'!P114+'3-Statement Model'!P115+'3-Statement Model'!P116</f>
        <v>401.26662825042899</v>
      </c>
      <c r="L65" s="30">
        <f>'3-Statement Model'!Q114+'3-Statement Model'!Q115+'3-Statement Model'!Q116</f>
        <v>414.60231348515651</v>
      </c>
      <c r="M65" s="30">
        <f>'3-Statement Model'!R114+'3-Statement Model'!R115+'3-Statement Model'!R116</f>
        <v>426.52785061300131</v>
      </c>
      <c r="N65" s="30">
        <f>'3-Statement Model'!S114+'3-Statement Model'!S115+'3-Statement Model'!S116</f>
        <v>436.85865546028651</v>
      </c>
    </row>
    <row r="66" spans="2:14">
      <c r="B66" s="167" t="s">
        <v>358</v>
      </c>
      <c r="C66" s="168">
        <f>'3-Statement Model'!H117</f>
        <v>4201.4000000000005</v>
      </c>
      <c r="D66" s="168">
        <f>'3-Statement Model'!I117</f>
        <v>4563.2999999999993</v>
      </c>
      <c r="E66" s="168">
        <f>'3-Statement Model'!J117</f>
        <v>4828.7661525405065</v>
      </c>
      <c r="F66" s="168">
        <f>'3-Statement Model'!K117</f>
        <v>5227.7534346643142</v>
      </c>
      <c r="G66" s="168">
        <f>'3-Statement Model'!L117</f>
        <v>5658.4928764818887</v>
      </c>
      <c r="H66" s="168">
        <f>'3-Statement Model'!M117</f>
        <v>6263.3420693045227</v>
      </c>
      <c r="I66" s="168">
        <f>'3-Statement Model'!N117</f>
        <v>6845.1707389439262</v>
      </c>
      <c r="J66" s="168">
        <f>'3-Statement Model'!O117</f>
        <v>7472.2159202733446</v>
      </c>
      <c r="K66" s="168">
        <f>'3-Statement Model'!P117</f>
        <v>8180.2539891889437</v>
      </c>
      <c r="L66" s="168">
        <f>'3-Statement Model'!Q117</f>
        <v>9003.1609855673305</v>
      </c>
      <c r="M66" s="168">
        <f>'3-Statement Model'!R117</f>
        <v>9947.1155434963166</v>
      </c>
      <c r="N66" s="168">
        <f>'3-Statement Model'!S117</f>
        <v>10804.180182408287</v>
      </c>
    </row>
    <row r="67" spans="2:14">
      <c r="B67" t="s">
        <v>49</v>
      </c>
      <c r="C67" s="30">
        <f>'3-Statement Model'!H119</f>
        <v>2257.3000000000002</v>
      </c>
      <c r="D67" s="30">
        <f>'3-Statement Model'!I119</f>
        <v>2458.5</v>
      </c>
      <c r="E67" s="30">
        <f>'3-Statement Model'!J119</f>
        <v>2573.4652801594739</v>
      </c>
      <c r="F67" s="30">
        <f>'3-Statement Model'!K119</f>
        <v>2672.525990633419</v>
      </c>
      <c r="G67" s="30">
        <f>'3-Statement Model'!L119</f>
        <v>2762.6443542748307</v>
      </c>
      <c r="H67" s="30">
        <f>'3-Statement Model'!M119</f>
        <v>2875.715437666448</v>
      </c>
      <c r="I67" s="30">
        <f>'3-Statement Model'!N119</f>
        <v>3014.175404565754</v>
      </c>
      <c r="J67" s="30">
        <f>'3-Statement Model'!O119</f>
        <v>3130.6563805627934</v>
      </c>
      <c r="K67" s="30">
        <f>'3-Statement Model'!P119</f>
        <v>3194.2045283038751</v>
      </c>
      <c r="L67" s="30">
        <f>'3-Statement Model'!Q119</f>
        <v>3199.8743986694199</v>
      </c>
      <c r="M67" s="30">
        <f>'3-Statement Model'!R119</f>
        <v>3185.3021502248184</v>
      </c>
      <c r="N67" s="30">
        <f>'3-Statement Model'!S119</f>
        <v>3294.8596590279317</v>
      </c>
    </row>
    <row r="68" spans="2:14">
      <c r="B68" t="s">
        <v>50</v>
      </c>
      <c r="C68" s="30">
        <f>'3-Statement Model'!H120</f>
        <v>8223.6</v>
      </c>
      <c r="D68" s="30">
        <f>'3-Statement Model'!I120</f>
        <v>8616.1</v>
      </c>
      <c r="E68" s="30">
        <f>'3-Statement Model'!J120</f>
        <v>8679.6302854765345</v>
      </c>
      <c r="F68" s="30">
        <f>'3-Statement Model'!K120</f>
        <v>8805.9734104148229</v>
      </c>
      <c r="G68" s="30">
        <f>'3-Statement Model'!L120</f>
        <v>8948.9006134068859</v>
      </c>
      <c r="H68" s="30">
        <f>'3-Statement Model'!M120</f>
        <v>9113.8177068686055</v>
      </c>
      <c r="I68" s="30">
        <f>'3-Statement Model'!N120</f>
        <v>9299.9842185052767</v>
      </c>
      <c r="J68" s="30">
        <f>'3-Statement Model'!O120</f>
        <v>9449.1622106715295</v>
      </c>
      <c r="K68" s="30">
        <f>'3-Statement Model'!P120</f>
        <v>9554.7411941938262</v>
      </c>
      <c r="L68" s="30">
        <f>'3-Statement Model'!Q120</f>
        <v>9578.9355454617762</v>
      </c>
      <c r="M68" s="30">
        <f>'3-Statement Model'!R120</f>
        <v>9480.7439453777442</v>
      </c>
      <c r="N68" s="30">
        <f>'3-Statement Model'!S120</f>
        <v>9373.3577156454976</v>
      </c>
    </row>
    <row r="69" spans="2:14">
      <c r="B69" t="s">
        <v>51</v>
      </c>
      <c r="C69" s="30">
        <f>'3-Statement Model'!H121</f>
        <v>19.100000000000001</v>
      </c>
      <c r="D69" s="30">
        <f>'3-Statement Model'!I121</f>
        <v>24.1</v>
      </c>
      <c r="E69" s="30">
        <f>'3-Statement Model'!J121</f>
        <v>24.1</v>
      </c>
      <c r="F69" s="30">
        <f>'3-Statement Model'!K121</f>
        <v>24.1</v>
      </c>
      <c r="G69" s="30">
        <f>'3-Statement Model'!L121</f>
        <v>24.1</v>
      </c>
      <c r="H69" s="30">
        <f>'3-Statement Model'!M121</f>
        <v>24.1</v>
      </c>
      <c r="I69" s="30">
        <f>'3-Statement Model'!N121</f>
        <v>24.1</v>
      </c>
      <c r="J69" s="30">
        <f>'3-Statement Model'!O121</f>
        <v>24.1</v>
      </c>
      <c r="K69" s="30">
        <f>'3-Statement Model'!P121</f>
        <v>24.1</v>
      </c>
      <c r="L69" s="30">
        <f>'3-Statement Model'!Q121</f>
        <v>24.1</v>
      </c>
      <c r="M69" s="30">
        <f>'3-Statement Model'!R121</f>
        <v>24.1</v>
      </c>
      <c r="N69" s="30">
        <f>'3-Statement Model'!S121</f>
        <v>24.1</v>
      </c>
    </row>
    <row r="70" spans="2:14">
      <c r="B70" t="s">
        <v>53</v>
      </c>
      <c r="C70" s="30">
        <f>'3-Statement Model'!H122+'3-Statement Model'!H123</f>
        <v>349.4</v>
      </c>
      <c r="D70" s="30">
        <f>'3-Statement Model'!I122+'3-Statement Model'!I123</f>
        <v>315.2</v>
      </c>
      <c r="E70" s="30">
        <f>'3-Statement Model'!J122+'3-Statement Model'!J123</f>
        <v>315.2</v>
      </c>
      <c r="F70" s="30">
        <f>'3-Statement Model'!K122+'3-Statement Model'!K123</f>
        <v>315.2</v>
      </c>
      <c r="G70" s="30">
        <f>'3-Statement Model'!L122+'3-Statement Model'!L123</f>
        <v>315.2</v>
      </c>
      <c r="H70" s="30">
        <f>'3-Statement Model'!M122+'3-Statement Model'!M123</f>
        <v>315.2</v>
      </c>
      <c r="I70" s="30">
        <f>'3-Statement Model'!N122+'3-Statement Model'!N123</f>
        <v>315.2</v>
      </c>
      <c r="J70" s="30">
        <f>'3-Statement Model'!O122+'3-Statement Model'!O123</f>
        <v>315.2</v>
      </c>
      <c r="K70" s="30">
        <f>'3-Statement Model'!P122+'3-Statement Model'!P123</f>
        <v>315.2</v>
      </c>
      <c r="L70" s="30">
        <f>'3-Statement Model'!Q122+'3-Statement Model'!Q123</f>
        <v>315.2</v>
      </c>
      <c r="M70" s="30">
        <f>'3-Statement Model'!R122+'3-Statement Model'!R123</f>
        <v>315.2</v>
      </c>
      <c r="N70" s="30">
        <f>'3-Statement Model'!S122+'3-Statement Model'!S123</f>
        <v>315.2</v>
      </c>
    </row>
    <row r="71" spans="2:14">
      <c r="B71" s="167" t="s">
        <v>359</v>
      </c>
      <c r="C71" s="168">
        <f>'3-Statement Model'!H124</f>
        <v>10849.400000000001</v>
      </c>
      <c r="D71" s="168">
        <f>'3-Statement Model'!I124</f>
        <v>11413.900000000001</v>
      </c>
      <c r="E71" s="168">
        <f>'3-Statement Model'!J124</f>
        <v>11592.39556563601</v>
      </c>
      <c r="F71" s="168">
        <f>'3-Statement Model'!K124</f>
        <v>11817.799401048243</v>
      </c>
      <c r="G71" s="168">
        <f>'3-Statement Model'!L124</f>
        <v>12050.844967681718</v>
      </c>
      <c r="H71" s="168">
        <f>'3-Statement Model'!M124</f>
        <v>12328.833144535054</v>
      </c>
      <c r="I71" s="168">
        <f>'3-Statement Model'!N124</f>
        <v>12653.459623071032</v>
      </c>
      <c r="J71" s="168">
        <f>'3-Statement Model'!O124</f>
        <v>12919.118591234324</v>
      </c>
      <c r="K71" s="168">
        <f>'3-Statement Model'!P124</f>
        <v>13088.245722497702</v>
      </c>
      <c r="L71" s="168">
        <f>'3-Statement Model'!Q124</f>
        <v>13118.109944131198</v>
      </c>
      <c r="M71" s="168">
        <f>'3-Statement Model'!R124</f>
        <v>13005.346095602565</v>
      </c>
      <c r="N71" s="168">
        <f>'3-Statement Model'!S124</f>
        <v>13007.517374673431</v>
      </c>
    </row>
    <row r="72" spans="2:14">
      <c r="B72" s="167" t="s">
        <v>360</v>
      </c>
      <c r="C72" s="168">
        <f>'3-Statement Model'!H126</f>
        <v>15050.800000000003</v>
      </c>
      <c r="D72" s="168">
        <f>'3-Statement Model'!I126</f>
        <v>15977.2</v>
      </c>
      <c r="E72" s="168">
        <f>'3-Statement Model'!J126</f>
        <v>16421.161718176518</v>
      </c>
      <c r="F72" s="168">
        <f>'3-Statement Model'!K126</f>
        <v>17045.552835712559</v>
      </c>
      <c r="G72" s="168">
        <f>'3-Statement Model'!L126</f>
        <v>17709.337844163609</v>
      </c>
      <c r="H72" s="168">
        <f>'3-Statement Model'!M126</f>
        <v>18592.175213839575</v>
      </c>
      <c r="I72" s="168">
        <f>'3-Statement Model'!N126</f>
        <v>19498.630362014959</v>
      </c>
      <c r="J72" s="168">
        <f>'3-Statement Model'!O126</f>
        <v>20391.33451150767</v>
      </c>
      <c r="K72" s="168">
        <f>'3-Statement Model'!P126</f>
        <v>21268.499711686647</v>
      </c>
      <c r="L72" s="168">
        <f>'3-Statement Model'!Q126</f>
        <v>22121.270929698527</v>
      </c>
      <c r="M72" s="168">
        <f>'3-Statement Model'!R126</f>
        <v>22952.461639098881</v>
      </c>
      <c r="N72" s="168">
        <f>'3-Statement Model'!S126</f>
        <v>23811.697557081716</v>
      </c>
    </row>
    <row r="73" spans="2:14">
      <c r="B73" t="s">
        <v>163</v>
      </c>
      <c r="C73" s="30">
        <f>'3-Statement Model'!H128</f>
        <v>1108.2</v>
      </c>
      <c r="D73" s="30">
        <f>'3-Statement Model'!I128</f>
        <v>1212.3</v>
      </c>
      <c r="E73" s="30">
        <f>'3-Statement Model'!J128</f>
        <v>1116.020488160364</v>
      </c>
      <c r="F73" s="30">
        <f>'3-Statement Model'!K128</f>
        <v>1163.0850938339033</v>
      </c>
      <c r="G73" s="30">
        <f>'3-Statement Model'!L128</f>
        <v>1240.7007500193199</v>
      </c>
      <c r="H73" s="30">
        <f>'3-Statement Model'!M128</f>
        <v>1316.3645130320276</v>
      </c>
      <c r="I73" s="30">
        <f>'3-Statement Model'!N128</f>
        <v>1388.9274606819572</v>
      </c>
      <c r="J73" s="30">
        <f>'3-Statement Model'!O128</f>
        <v>1457.981238913587</v>
      </c>
      <c r="K73" s="30">
        <f>'3-Statement Model'!P128</f>
        <v>1522.5806547552927</v>
      </c>
      <c r="L73" s="30">
        <f>'3-Statement Model'!Q128</f>
        <v>1581.800930755649</v>
      </c>
      <c r="M73" s="30">
        <f>'3-Statement Model'!R128</f>
        <v>1634.7591093368558</v>
      </c>
      <c r="N73" s="30">
        <f>'3-Statement Model'!S128</f>
        <v>1680.6355006578563</v>
      </c>
    </row>
    <row r="74" spans="2:14">
      <c r="B74" t="s">
        <v>361</v>
      </c>
      <c r="C74" s="30">
        <f>'3-Statement Model'!H129+'3-Statement Model'!H131+'3-Statement Model'!H132</f>
        <v>1089.8999999999999</v>
      </c>
      <c r="D74" s="30">
        <f>'3-Statement Model'!I129+'3-Statement Model'!I131+'3-Statement Model'!I132</f>
        <v>1035.6999999999998</v>
      </c>
      <c r="E74" s="30">
        <f>'3-Statement Model'!J129+'3-Statement Model'!J131+'3-Statement Model'!J132</f>
        <v>1037.4395567537551</v>
      </c>
      <c r="F74" s="30">
        <f>'3-Statement Model'!K129+'3-Statement Model'!K131+'3-Statement Model'!K132</f>
        <v>1072.7324791023577</v>
      </c>
      <c r="G74" s="30">
        <f>'3-Statement Model'!L129+'3-Statement Model'!L131+'3-Statement Model'!L132</f>
        <v>1119.7811076056951</v>
      </c>
      <c r="H74" s="30">
        <f>'3-Statement Model'!M129+'3-Statement Model'!M131+'3-Statement Model'!M132</f>
        <v>1165.6465483183938</v>
      </c>
      <c r="I74" s="30">
        <f>'3-Statement Model'!N129+'3-Statement Model'!N131+'3-Statement Model'!N132</f>
        <v>1209.6323539518983</v>
      </c>
      <c r="J74" s="30">
        <f>'3-Statement Model'!O129+'3-Statement Model'!O131+'3-Statement Model'!O132</f>
        <v>1251.4909907069689</v>
      </c>
      <c r="K74" s="30">
        <f>'3-Statement Model'!P129+'3-Statement Model'!P131+'3-Statement Model'!P132</f>
        <v>1290.649506744099</v>
      </c>
      <c r="L74" s="30">
        <f>'3-Statement Model'!Q129+'3-Statement Model'!Q131+'3-Statement Model'!Q132</f>
        <v>1326.5473255907218</v>
      </c>
      <c r="M74" s="30">
        <f>'3-Statement Model'!R129+'3-Statement Model'!R131+'3-Statement Model'!R132</f>
        <v>1358.6492209135981</v>
      </c>
      <c r="N74" s="30">
        <f>'3-Statement Model'!S129+'3-Statement Model'!S131+'3-Statement Model'!S132</f>
        <v>1386.4583176656661</v>
      </c>
    </row>
    <row r="75" spans="2:14">
      <c r="B75" t="s">
        <v>58</v>
      </c>
      <c r="C75" s="30">
        <f>'3-Statement Model'!H130</f>
        <v>1217.9000000000001</v>
      </c>
      <c r="D75" s="30">
        <f>'3-Statement Model'!I130</f>
        <v>337.4</v>
      </c>
      <c r="E75" s="30">
        <f>'3-Statement Model'!J130</f>
        <v>337.4</v>
      </c>
      <c r="F75" s="30">
        <f>'3-Statement Model'!K130</f>
        <v>337.4</v>
      </c>
      <c r="G75" s="30">
        <f>'3-Statement Model'!L130</f>
        <v>337.4</v>
      </c>
      <c r="H75" s="30">
        <f>'3-Statement Model'!M130</f>
        <v>337.4</v>
      </c>
      <c r="I75" s="30">
        <f>'3-Statement Model'!N130</f>
        <v>337.4</v>
      </c>
      <c r="J75" s="30">
        <f>'3-Statement Model'!O130</f>
        <v>337.4</v>
      </c>
      <c r="K75" s="30">
        <f>'3-Statement Model'!P130</f>
        <v>337.4</v>
      </c>
      <c r="L75" s="30">
        <f>'3-Statement Model'!Q130</f>
        <v>337.4</v>
      </c>
      <c r="M75" s="30">
        <f>'3-Statement Model'!R130</f>
        <v>337.4</v>
      </c>
      <c r="N75" s="30">
        <f>'3-Statement Model'!S130</f>
        <v>337.4</v>
      </c>
    </row>
    <row r="76" spans="2:14">
      <c r="B76" t="s">
        <v>362</v>
      </c>
      <c r="C76" s="30">
        <f>'3-Statement Model'!H133</f>
        <v>0</v>
      </c>
      <c r="D76" s="30">
        <f>'3-Statement Model'!I133</f>
        <v>0</v>
      </c>
      <c r="E76" s="30">
        <f>'3-Statement Model'!J133</f>
        <v>0</v>
      </c>
      <c r="F76" s="30">
        <f>'3-Statement Model'!K133</f>
        <v>0</v>
      </c>
      <c r="G76" s="30">
        <f>'3-Statement Model'!L133</f>
        <v>0</v>
      </c>
      <c r="H76" s="30">
        <f>'3-Statement Model'!M133</f>
        <v>0</v>
      </c>
      <c r="I76" s="30">
        <f>'3-Statement Model'!N133</f>
        <v>0</v>
      </c>
      <c r="J76" s="30">
        <f>'3-Statement Model'!O133</f>
        <v>0</v>
      </c>
      <c r="K76" s="30">
        <f>'3-Statement Model'!P133</f>
        <v>0</v>
      </c>
      <c r="L76" s="30">
        <f>'3-Statement Model'!Q133</f>
        <v>0</v>
      </c>
      <c r="M76" s="30">
        <f>'3-Statement Model'!R133</f>
        <v>0</v>
      </c>
      <c r="N76" s="30">
        <f>'3-Statement Model'!S133</f>
        <v>0</v>
      </c>
    </row>
    <row r="77" spans="2:14">
      <c r="B77" s="167" t="s">
        <v>363</v>
      </c>
      <c r="C77" s="168">
        <f>'3-Statement Model'!H134</f>
        <v>3416.0000000000005</v>
      </c>
      <c r="D77" s="168">
        <f>'3-Statement Model'!I134</f>
        <v>2585.3999999999996</v>
      </c>
      <c r="E77" s="168">
        <f>'3-Statement Model'!J134</f>
        <v>2490.860044914119</v>
      </c>
      <c r="F77" s="168">
        <f>'3-Statement Model'!K134</f>
        <v>2573.2175729362607</v>
      </c>
      <c r="G77" s="168">
        <f>'3-Statement Model'!L134</f>
        <v>2697.8818576250151</v>
      </c>
      <c r="H77" s="168">
        <f>'3-Statement Model'!M134</f>
        <v>2819.4110613504213</v>
      </c>
      <c r="I77" s="168">
        <f>'3-Statement Model'!N134</f>
        <v>2935.9598146338553</v>
      </c>
      <c r="J77" s="168">
        <f>'3-Statement Model'!O134</f>
        <v>3046.872229620556</v>
      </c>
      <c r="K77" s="168">
        <f>'3-Statement Model'!P134</f>
        <v>3150.6301614993913</v>
      </c>
      <c r="L77" s="168">
        <f>'3-Statement Model'!Q134</f>
        <v>3245.7482563463709</v>
      </c>
      <c r="M77" s="168">
        <f>'3-Statement Model'!R134</f>
        <v>3330.8083302504538</v>
      </c>
      <c r="N77" s="168">
        <f>'3-Statement Model'!S134</f>
        <v>3404.4938183235222</v>
      </c>
    </row>
    <row r="78" spans="2:14">
      <c r="B78" t="s">
        <v>58</v>
      </c>
      <c r="C78" s="30">
        <f>'3-Statement Model'!H136</f>
        <v>4732</v>
      </c>
      <c r="D78" s="30">
        <f>'3-Statement Model'!I136</f>
        <v>5424.8</v>
      </c>
      <c r="E78" s="30">
        <f>'3-Statement Model'!J136</f>
        <v>5350.3754256058564</v>
      </c>
      <c r="F78" s="30">
        <f>'3-Statement Model'!K136</f>
        <v>5221.5052229984885</v>
      </c>
      <c r="G78" s="30">
        <f>'3-Statement Model'!L136</f>
        <v>5037.8096232111457</v>
      </c>
      <c r="H78" s="30">
        <f>'3-Statement Model'!M136</f>
        <v>5037.8096232111457</v>
      </c>
      <c r="I78" s="30">
        <f>'3-Statement Model'!N136</f>
        <v>5037.8096232111457</v>
      </c>
      <c r="J78" s="30">
        <f>'3-Statement Model'!O136</f>
        <v>5037.8096232111457</v>
      </c>
      <c r="K78" s="30">
        <f>'3-Statement Model'!P136</f>
        <v>5037.8096232111457</v>
      </c>
      <c r="L78" s="30">
        <f>'3-Statement Model'!Q136</f>
        <v>5037.8096232111457</v>
      </c>
      <c r="M78" s="30">
        <f>'3-Statement Model'!R136</f>
        <v>5037.8096232111457</v>
      </c>
      <c r="N78" s="30">
        <f>'3-Statement Model'!S136</f>
        <v>5037.8096232111457</v>
      </c>
    </row>
    <row r="79" spans="2:14">
      <c r="B79" t="s">
        <v>64</v>
      </c>
      <c r="C79" s="30">
        <f>'3-Statement Model'!H139</f>
        <v>328.6</v>
      </c>
      <c r="D79" s="30">
        <f>'3-Statement Model'!I139</f>
        <v>357.2</v>
      </c>
      <c r="E79" s="30">
        <f>'3-Statement Model'!J139</f>
        <v>357.2</v>
      </c>
      <c r="F79" s="30">
        <f>'3-Statement Model'!K139</f>
        <v>357.2</v>
      </c>
      <c r="G79" s="30">
        <f>'3-Statement Model'!L139</f>
        <v>357.2</v>
      </c>
      <c r="H79" s="30">
        <f>'3-Statement Model'!M139</f>
        <v>357.2</v>
      </c>
      <c r="I79" s="30">
        <f>'3-Statement Model'!N139</f>
        <v>357.2</v>
      </c>
      <c r="J79" s="30">
        <f>'3-Statement Model'!O139</f>
        <v>357.2</v>
      </c>
      <c r="K79" s="30">
        <f>'3-Statement Model'!P139</f>
        <v>357.2</v>
      </c>
      <c r="L79" s="30">
        <f>'3-Statement Model'!Q139</f>
        <v>357.2</v>
      </c>
      <c r="M79" s="30">
        <f>'3-Statement Model'!R139</f>
        <v>357.2</v>
      </c>
      <c r="N79" s="30">
        <f>'3-Statement Model'!S139</f>
        <v>357.2</v>
      </c>
    </row>
    <row r="80" spans="2:14">
      <c r="B80" t="s">
        <v>65</v>
      </c>
      <c r="C80" s="30">
        <f>'3-Statement Model'!H137+'3-Statement Model'!H138+'3-Statement Model'!H140</f>
        <v>640.90000000000009</v>
      </c>
      <c r="D80" s="30">
        <f>'3-Statement Model'!I137+'3-Statement Model'!I138+'3-Statement Model'!I140</f>
        <v>563</v>
      </c>
      <c r="E80" s="30">
        <f>'3-Statement Model'!J137+'3-Statement Model'!J138+'3-Statement Model'!J140</f>
        <v>563</v>
      </c>
      <c r="F80" s="30">
        <f>'3-Statement Model'!K137+'3-Statement Model'!K138+'3-Statement Model'!K140</f>
        <v>563</v>
      </c>
      <c r="G80" s="30">
        <f>'3-Statement Model'!L137+'3-Statement Model'!L138+'3-Statement Model'!L140</f>
        <v>563</v>
      </c>
      <c r="H80" s="30">
        <f>'3-Statement Model'!M137+'3-Statement Model'!M138+'3-Statement Model'!M140</f>
        <v>563</v>
      </c>
      <c r="I80" s="30">
        <f>'3-Statement Model'!N137+'3-Statement Model'!N138+'3-Statement Model'!N140</f>
        <v>563</v>
      </c>
      <c r="J80" s="30">
        <f>'3-Statement Model'!O137+'3-Statement Model'!O138+'3-Statement Model'!O140</f>
        <v>563</v>
      </c>
      <c r="K80" s="30">
        <f>'3-Statement Model'!P137+'3-Statement Model'!P138+'3-Statement Model'!P140</f>
        <v>563</v>
      </c>
      <c r="L80" s="30">
        <f>'3-Statement Model'!Q137+'3-Statement Model'!Q138+'3-Statement Model'!Q140</f>
        <v>563</v>
      </c>
      <c r="M80" s="30">
        <f>'3-Statement Model'!R137+'3-Statement Model'!R138+'3-Statement Model'!R140</f>
        <v>563</v>
      </c>
      <c r="N80" s="30">
        <f>'3-Statement Model'!S137+'3-Statement Model'!S138+'3-Statement Model'!S140</f>
        <v>563</v>
      </c>
    </row>
    <row r="81" spans="2:14">
      <c r="B81" s="167" t="s">
        <v>364</v>
      </c>
      <c r="C81" s="168">
        <f>'3-Statement Model'!H141</f>
        <v>5701.5</v>
      </c>
      <c r="D81" s="168">
        <f>'3-Statement Model'!I141</f>
        <v>6345</v>
      </c>
      <c r="E81" s="168">
        <f>'3-Statement Model'!J141</f>
        <v>6270.5754256058563</v>
      </c>
      <c r="F81" s="168">
        <f>'3-Statement Model'!K141</f>
        <v>6141.7052229984884</v>
      </c>
      <c r="G81" s="168">
        <f>'3-Statement Model'!L141</f>
        <v>5958.0096232111455</v>
      </c>
      <c r="H81" s="168">
        <f>'3-Statement Model'!M141</f>
        <v>5958.0096232111455</v>
      </c>
      <c r="I81" s="168">
        <f>'3-Statement Model'!N141</f>
        <v>5958.0096232111455</v>
      </c>
      <c r="J81" s="168">
        <f>'3-Statement Model'!O141</f>
        <v>5958.0096232111455</v>
      </c>
      <c r="K81" s="168">
        <f>'3-Statement Model'!P141</f>
        <v>5958.0096232111455</v>
      </c>
      <c r="L81" s="168">
        <f>'3-Statement Model'!Q141</f>
        <v>5958.0096232111455</v>
      </c>
      <c r="M81" s="168">
        <f>'3-Statement Model'!R141</f>
        <v>5958.0096232111455</v>
      </c>
      <c r="N81" s="168">
        <f>'3-Statement Model'!S141</f>
        <v>5958.0096232111455</v>
      </c>
    </row>
    <row r="82" spans="2:14">
      <c r="B82" t="s">
        <v>67</v>
      </c>
      <c r="C82" s="30">
        <f>'3-Statement Model'!H143</f>
        <v>1.6</v>
      </c>
      <c r="D82" s="30">
        <f>'3-Statement Model'!I143</f>
        <v>1.6</v>
      </c>
      <c r="E82" s="30">
        <f>'3-Statement Model'!J143</f>
        <v>1.6</v>
      </c>
      <c r="F82" s="30">
        <f>'3-Statement Model'!K143</f>
        <v>1.6</v>
      </c>
      <c r="G82" s="30">
        <f>'3-Statement Model'!L143</f>
        <v>1.6</v>
      </c>
      <c r="H82" s="30">
        <f>'3-Statement Model'!M143</f>
        <v>1.6</v>
      </c>
      <c r="I82" s="30">
        <f>'3-Statement Model'!N143</f>
        <v>1.6</v>
      </c>
      <c r="J82" s="30">
        <f>'3-Statement Model'!O143</f>
        <v>1.6</v>
      </c>
      <c r="K82" s="30">
        <f>'3-Statement Model'!P143</f>
        <v>1.6</v>
      </c>
      <c r="L82" s="30">
        <f>'3-Statement Model'!Q143</f>
        <v>1.6</v>
      </c>
      <c r="M82" s="30">
        <f>'3-Statement Model'!R143</f>
        <v>1.6</v>
      </c>
      <c r="N82" s="30">
        <f>'3-Statement Model'!S143</f>
        <v>1.6</v>
      </c>
    </row>
    <row r="83" spans="2:14">
      <c r="B83" t="s">
        <v>68</v>
      </c>
      <c r="C83" s="30">
        <f>'3-Statement Model'!H144</f>
        <v>-11.9</v>
      </c>
      <c r="D83" s="30">
        <f>'3-Statement Model'!I144</f>
        <v>-8.8000000000000007</v>
      </c>
      <c r="E83" s="30">
        <f>'3-Statement Model'!J144</f>
        <v>-8.8000000000000007</v>
      </c>
      <c r="F83" s="30">
        <f>'3-Statement Model'!K144</f>
        <v>-8.8000000000000007</v>
      </c>
      <c r="G83" s="30">
        <f>'3-Statement Model'!L144</f>
        <v>-8.8000000000000007</v>
      </c>
      <c r="H83" s="30">
        <f>'3-Statement Model'!M144</f>
        <v>-8.8000000000000007</v>
      </c>
      <c r="I83" s="30">
        <f>'3-Statement Model'!N144</f>
        <v>-8.8000000000000007</v>
      </c>
      <c r="J83" s="30">
        <f>'3-Statement Model'!O144</f>
        <v>-8.8000000000000007</v>
      </c>
      <c r="K83" s="30">
        <f>'3-Statement Model'!P144</f>
        <v>-8.8000000000000007</v>
      </c>
      <c r="L83" s="30">
        <f>'3-Statement Model'!Q144</f>
        <v>-8.8000000000000007</v>
      </c>
      <c r="M83" s="30">
        <f>'3-Statement Model'!R144</f>
        <v>-8.8000000000000007</v>
      </c>
      <c r="N83" s="30">
        <f>'3-Statement Model'!S144</f>
        <v>-8.8000000000000007</v>
      </c>
    </row>
    <row r="84" spans="2:14">
      <c r="B84" t="s">
        <v>69</v>
      </c>
      <c r="C84" s="30">
        <f>'3-Statement Model'!H145</f>
        <v>5930.7</v>
      </c>
      <c r="D84" s="30">
        <f>'3-Statement Model'!I145</f>
        <v>7040</v>
      </c>
      <c r="E84" s="30">
        <f>'3-Statement Model'!J145</f>
        <v>7655.9756452923748</v>
      </c>
      <c r="F84" s="30">
        <f>'3-Statement Model'!K145</f>
        <v>8330.2399790001418</v>
      </c>
      <c r="G84" s="30">
        <f>'3-Statement Model'!L145</f>
        <v>9056.7768052017018</v>
      </c>
      <c r="H84" s="30">
        <f>'3-Statement Model'!M145</f>
        <v>9822.1608212800747</v>
      </c>
      <c r="I84" s="30">
        <f>'3-Statement Model'!N145</f>
        <v>10616.496351980306</v>
      </c>
      <c r="J84" s="30">
        <f>'3-Statement Model'!O145</f>
        <v>11403.012215705416</v>
      </c>
      <c r="K84" s="30">
        <f>'3-Statement Model'!P145</f>
        <v>12181.444965989383</v>
      </c>
      <c r="L84" s="30">
        <f>'3-Statement Model'!Q145</f>
        <v>12944.414041066977</v>
      </c>
      <c r="M84" s="30">
        <f>'3-Statement Model'!R145</f>
        <v>13696.164828074971</v>
      </c>
      <c r="N84" s="30">
        <f>'3-Statement Model'!S145</f>
        <v>14487.780333154629</v>
      </c>
    </row>
    <row r="85" spans="2:14">
      <c r="B85" t="s">
        <v>71</v>
      </c>
      <c r="C85" s="30">
        <f>'3-Statement Model'!H147</f>
        <v>12.8</v>
      </c>
      <c r="D85" s="30">
        <f>'3-Statement Model'!I147</f>
        <v>14</v>
      </c>
      <c r="E85" s="30">
        <f>'3-Statement Model'!J147</f>
        <v>10.950602364165317</v>
      </c>
      <c r="F85" s="30">
        <f>'3-Statement Model'!K147</f>
        <v>7.5900607776645597</v>
      </c>
      <c r="G85" s="30">
        <f>'3-Statement Model'!L147</f>
        <v>3.8695581257426976</v>
      </c>
      <c r="H85" s="30">
        <f>'3-Statement Model'!M147</f>
        <v>-0.20629200206484022</v>
      </c>
      <c r="I85" s="30">
        <f>'3-Statement Model'!N147</f>
        <v>-4.6354278103481716</v>
      </c>
      <c r="J85" s="30">
        <f>'3-Statement Model'!O147</f>
        <v>-9.3595570294485597</v>
      </c>
      <c r="K85" s="30">
        <f>'3-Statement Model'!P147</f>
        <v>-14.38503901327327</v>
      </c>
      <c r="L85" s="30">
        <f>'3-Statement Model'!Q147</f>
        <v>-19.700990925963303</v>
      </c>
      <c r="M85" s="30">
        <f>'3-Statement Model'!R147</f>
        <v>-25.32114243768925</v>
      </c>
      <c r="N85" s="30">
        <f>'3-Statement Model'!S147</f>
        <v>-31.386217607578875</v>
      </c>
    </row>
    <row r="86" spans="2:14">
      <c r="B86" s="167" t="s">
        <v>365</v>
      </c>
      <c r="C86" s="168">
        <f>'3-Statement Model'!H148</f>
        <v>5933.2</v>
      </c>
      <c r="D86" s="168">
        <f>'3-Statement Model'!I148</f>
        <v>7046.8</v>
      </c>
      <c r="E86" s="168">
        <f>'3-Statement Model'!J148</f>
        <v>7659.7262476565402</v>
      </c>
      <c r="F86" s="168">
        <f>'3-Statement Model'!K148</f>
        <v>8330.630039777805</v>
      </c>
      <c r="G86" s="168">
        <f>'3-Statement Model'!L148</f>
        <v>9053.4463633274445</v>
      </c>
      <c r="H86" s="168">
        <f>'3-Statement Model'!M148</f>
        <v>9814.7545292780087</v>
      </c>
      <c r="I86" s="168">
        <f>'3-Statement Model'!N148</f>
        <v>10604.660924169957</v>
      </c>
      <c r="J86" s="168">
        <f>'3-Statement Model'!O148</f>
        <v>11386.452658675966</v>
      </c>
      <c r="K86" s="168">
        <f>'3-Statement Model'!P148</f>
        <v>12159.859926976109</v>
      </c>
      <c r="L86" s="168">
        <f>'3-Statement Model'!Q148</f>
        <v>12917.513050141013</v>
      </c>
      <c r="M86" s="168">
        <f>'3-Statement Model'!R148</f>
        <v>13663.64368563728</v>
      </c>
      <c r="N86" s="168">
        <f>'3-Statement Model'!S148</f>
        <v>14449.19411554705</v>
      </c>
    </row>
    <row r="87" spans="2:14">
      <c r="B87" s="167" t="s">
        <v>366</v>
      </c>
      <c r="C87" s="168">
        <f>'3-Statement Model'!H150</f>
        <v>15050.7</v>
      </c>
      <c r="D87" s="168">
        <f>'3-Statement Model'!I150</f>
        <v>15977.2</v>
      </c>
      <c r="E87" s="168">
        <f>'3-Statement Model'!J150</f>
        <v>16421.161718176514</v>
      </c>
      <c r="F87" s="168">
        <f>'3-Statement Model'!K150</f>
        <v>17045.552835712551</v>
      </c>
      <c r="G87" s="168">
        <f>'3-Statement Model'!L150</f>
        <v>17709.337844163605</v>
      </c>
      <c r="H87" s="168">
        <f>'3-Statement Model'!M150</f>
        <v>18592.175213839575</v>
      </c>
      <c r="I87" s="168">
        <f>'3-Statement Model'!N150</f>
        <v>19498.630362014956</v>
      </c>
      <c r="J87" s="168">
        <f>'3-Statement Model'!O150</f>
        <v>20391.334511507666</v>
      </c>
      <c r="K87" s="168">
        <f>'3-Statement Model'!P150</f>
        <v>21268.499711686643</v>
      </c>
      <c r="L87" s="168">
        <f>'3-Statement Model'!Q150</f>
        <v>22121.27092969853</v>
      </c>
      <c r="M87" s="168">
        <f>'3-Statement Model'!R150</f>
        <v>22952.461639098881</v>
      </c>
      <c r="N87" s="168">
        <f>'3-Statement Model'!S150</f>
        <v>23811.697557081716</v>
      </c>
    </row>
    <row r="89" spans="2:14">
      <c r="B89" s="3" t="s">
        <v>367</v>
      </c>
    </row>
    <row r="91" spans="2:14">
      <c r="B91" s="180" t="s">
        <v>352</v>
      </c>
      <c r="C91" s="181"/>
      <c r="D91" s="181"/>
      <c r="E91" s="182">
        <f>2025</f>
        <v>2025</v>
      </c>
      <c r="F91" s="182">
        <f t="shared" ref="F91:N91" si="9">E91+1</f>
        <v>2026</v>
      </c>
      <c r="G91" s="182">
        <f t="shared" si="9"/>
        <v>2027</v>
      </c>
      <c r="H91" s="182">
        <f t="shared" si="9"/>
        <v>2028</v>
      </c>
      <c r="I91" s="182">
        <f t="shared" si="9"/>
        <v>2029</v>
      </c>
      <c r="J91" s="182">
        <f t="shared" si="9"/>
        <v>2030</v>
      </c>
      <c r="K91" s="182">
        <f t="shared" si="9"/>
        <v>2031</v>
      </c>
      <c r="L91" s="182">
        <f t="shared" si="9"/>
        <v>2032</v>
      </c>
      <c r="M91" s="182">
        <f t="shared" si="9"/>
        <v>2033</v>
      </c>
      <c r="N91" s="182">
        <f t="shared" si="9"/>
        <v>2034</v>
      </c>
    </row>
    <row r="92" spans="2:14">
      <c r="B92" s="167" t="s">
        <v>36</v>
      </c>
      <c r="C92" s="168"/>
      <c r="D92" s="167"/>
      <c r="E92" s="168">
        <f>'3-Statement Model'!J156</f>
        <v>1140.6956394303243</v>
      </c>
      <c r="F92" s="168">
        <f>'3-Statement Model'!K156</f>
        <v>1309.2511334131386</v>
      </c>
      <c r="G92" s="168">
        <f>'3-Statement Model'!L156</f>
        <v>1482.7282167378789</v>
      </c>
      <c r="H92" s="168">
        <f>'3-Statement Model'!M156</f>
        <v>1645.9871313513386</v>
      </c>
      <c r="I92" s="168">
        <f>'3-Statement Model'!N156</f>
        <v>1805.3080243187046</v>
      </c>
      <c r="J92" s="168">
        <f>'3-Statement Model'!O156</f>
        <v>1895.2189487352045</v>
      </c>
      <c r="K92" s="168">
        <f>'3-Statement Model'!P156</f>
        <v>1995.9814109845333</v>
      </c>
      <c r="L92" s="168">
        <f>'3-Statement Model'!Q156</f>
        <v>2090.3262330892976</v>
      </c>
      <c r="M92" s="168">
        <f>'3-Statement Model'!R156</f>
        <v>2211.0317264940986</v>
      </c>
      <c r="N92" s="168">
        <f>'3-Statement Model'!S156</f>
        <v>2513.0650954909793</v>
      </c>
    </row>
    <row r="93" spans="2:14">
      <c r="B93" s="28" t="s">
        <v>76</v>
      </c>
      <c r="E93" s="30">
        <f>'3-Statement Model'!J157</f>
        <v>-2.0933134295285711</v>
      </c>
      <c r="F93" s="30">
        <f>'3-Statement Model'!K157</f>
        <v>-2.263181092188868</v>
      </c>
      <c r="G93" s="30">
        <f>'3-Statement Model'!L157</f>
        <v>-2.4777407956781725</v>
      </c>
      <c r="H93" s="30">
        <f>'3-Statement Model'!M157</f>
        <v>-2.6962513587142833</v>
      </c>
      <c r="I93" s="30">
        <f>'3-Statement Model'!N157</f>
        <v>-2.9160008142451326</v>
      </c>
      <c r="J93" s="30">
        <f>'3-Statement Model'!O157</f>
        <v>-3.1356345832457895</v>
      </c>
      <c r="K93" s="30">
        <f>'3-Statement Model'!P157</f>
        <v>-3.3525323931030884</v>
      </c>
      <c r="L93" s="30">
        <f>'3-Statement Model'!Q157</f>
        <v>-3.56392636932764</v>
      </c>
      <c r="M93" s="30">
        <f>'3-Statement Model'!R157</f>
        <v>-3.766955584371948</v>
      </c>
      <c r="N93" s="30">
        <f>'3-Statement Model'!S157</f>
        <v>-3.9587272851742767</v>
      </c>
    </row>
    <row r="94" spans="2:14">
      <c r="B94" s="28" t="s">
        <v>77</v>
      </c>
      <c r="E94" s="30">
        <f>'3-Statement Model'!J158</f>
        <v>598.54061865644621</v>
      </c>
      <c r="F94" s="30">
        <f>'3-Statement Model'!K158</f>
        <v>640.68502700231011</v>
      </c>
      <c r="G94" s="30">
        <f>'3-Statement Model'!L158</f>
        <v>684.13744034579736</v>
      </c>
      <c r="H94" s="30">
        <f>'3-Statement Model'!M158</f>
        <v>694.98904609332044</v>
      </c>
      <c r="I94" s="30">
        <f>'3-Statement Model'!N158</f>
        <v>661.23679535512224</v>
      </c>
      <c r="J94" s="30">
        <f>'3-Statement Model'!O158</f>
        <v>706.51366484037908</v>
      </c>
      <c r="K94" s="30">
        <f>'3-Statement Model'!P158</f>
        <v>729.64321335998159</v>
      </c>
      <c r="L94" s="30">
        <f>'3-Statement Model'!Q158</f>
        <v>751.04450449164824</v>
      </c>
      <c r="M94" s="30">
        <f>'3-Statement Model'!R158</f>
        <v>728.48744035258608</v>
      </c>
      <c r="N94" s="30">
        <f>'3-Statement Model'!S158</f>
        <v>466.22567676479241</v>
      </c>
    </row>
    <row r="95" spans="2:14">
      <c r="B95" s="28" t="s">
        <v>60</v>
      </c>
      <c r="E95" s="30">
        <f>'3-Statement Model'!J159</f>
        <v>-0.62103703372390129</v>
      </c>
      <c r="F95" s="30">
        <f>'3-Statement Model'!K159</f>
        <v>2.2911886393635044</v>
      </c>
      <c r="G95" s="30">
        <f>'3-Statement Model'!L159</f>
        <v>3.0543597965541807</v>
      </c>
      <c r="H95" s="30">
        <f>'3-Statement Model'!M159</f>
        <v>2.9775481798405465</v>
      </c>
      <c r="I95" s="30">
        <f>'3-Statement Model'!N159</f>
        <v>2.8555237553097399</v>
      </c>
      <c r="J95" s="30">
        <f>'3-Statement Model'!O159</f>
        <v>2.7174296320706475</v>
      </c>
      <c r="K95" s="30">
        <f>'3-Statement Model'!P159</f>
        <v>2.5421399280118919</v>
      </c>
      <c r="L95" s="30">
        <f>'3-Statement Model'!Q159</f>
        <v>2.3304580421793304</v>
      </c>
      <c r="M95" s="30">
        <f>'3-Statement Model'!R159</f>
        <v>2.0840296855928315</v>
      </c>
      <c r="N95" s="30">
        <f>'3-Statement Model'!S159</f>
        <v>1.8053445934556009</v>
      </c>
    </row>
    <row r="96" spans="2:14">
      <c r="B96" s="28" t="s">
        <v>29</v>
      </c>
      <c r="E96" s="30">
        <f>'3-Statement Model'!J160</f>
        <v>-14.626968292491904</v>
      </c>
      <c r="F96" s="30">
        <f>'3-Statement Model'!K160</f>
        <v>-20.415725712432195</v>
      </c>
      <c r="G96" s="30">
        <f>'3-Statement Model'!L160</f>
        <v>-27.410596486257667</v>
      </c>
      <c r="H96" s="30">
        <f>'3-Statement Model'!M160</f>
        <v>-34.655265280445256</v>
      </c>
      <c r="I96" s="30">
        <f>'3-Statement Model'!N160</f>
        <v>-42.21281646748497</v>
      </c>
      <c r="J96" s="30">
        <f>'3-Statement Model'!O160</f>
        <v>-49.497181318030187</v>
      </c>
      <c r="K96" s="30">
        <f>'3-Statement Model'!P160</f>
        <v>-57.94580303082499</v>
      </c>
      <c r="L96" s="30">
        <f>'3-Statement Model'!Q160</f>
        <v>-68.360128607307104</v>
      </c>
      <c r="M96" s="30">
        <f>'3-Statement Model'!R160</f>
        <v>-81.500982349802811</v>
      </c>
      <c r="N96" s="30">
        <f>'3-Statement Model'!S160</f>
        <v>-97.553833608422508</v>
      </c>
    </row>
    <row r="97" spans="2:14">
      <c r="B97" s="28" t="s">
        <v>43</v>
      </c>
      <c r="E97" s="30">
        <f>'3-Statement Model'!J161</f>
        <v>35.96073102596938</v>
      </c>
      <c r="F97" s="30">
        <f>'3-Statement Model'!K161</f>
        <v>-47.451476183202885</v>
      </c>
      <c r="G97" s="30">
        <f>'3-Statement Model'!L161</f>
        <v>-73.371208482802103</v>
      </c>
      <c r="H97" s="30">
        <f>'3-Statement Model'!M161</f>
        <v>-137.8170032531948</v>
      </c>
      <c r="I97" s="30">
        <f>'3-Statement Model'!N161</f>
        <v>-132.16905416998907</v>
      </c>
      <c r="J97" s="30">
        <f>'3-Statement Model'!O161</f>
        <v>-125.77731268263233</v>
      </c>
      <c r="K97" s="30">
        <f>'3-Statement Model'!P161</f>
        <v>-117.66395892463925</v>
      </c>
      <c r="L97" s="30">
        <f>'3-Statement Model'!Q161</f>
        <v>-107.86617854078258</v>
      </c>
      <c r="M97" s="30">
        <f>'3-Statement Model'!R161</f>
        <v>-96.460143920990504</v>
      </c>
      <c r="N97" s="30">
        <f>'3-Statement Model'!S161</f>
        <v>-83.561093450629414</v>
      </c>
    </row>
    <row r="98" spans="2:14">
      <c r="B98" s="28" t="s">
        <v>44</v>
      </c>
      <c r="E98" s="30">
        <f>'3-Statement Model'!J162</f>
        <v>-46.12561020045473</v>
      </c>
      <c r="F98" s="30">
        <f>'3-Statement Model'!K162</f>
        <v>-8.6021970765386868E-2</v>
      </c>
      <c r="G98" s="30">
        <f>'3-Statement Model'!L162</f>
        <v>10.531299376550351</v>
      </c>
      <c r="H98" s="30">
        <f>'3-Statement Model'!M162</f>
        <v>-84.43821620241647</v>
      </c>
      <c r="I98" s="30">
        <f>'3-Statement Model'!N162</f>
        <v>-80.97781048664433</v>
      </c>
      <c r="J98" s="30">
        <f>'3-Statement Model'!O162</f>
        <v>-77.061695371095993</v>
      </c>
      <c r="K98" s="30">
        <f>'3-Statement Model'!P162</f>
        <v>-72.090776670407877</v>
      </c>
      <c r="L98" s="30">
        <f>'3-Statement Model'!Q162</f>
        <v>-66.087837418884874</v>
      </c>
      <c r="M98" s="30">
        <f>'3-Statement Model'!R162</f>
        <v>-59.099547189783607</v>
      </c>
      <c r="N98" s="30">
        <f>'3-Statement Model'!S162</f>
        <v>-51.196510650662958</v>
      </c>
    </row>
    <row r="99" spans="2:14">
      <c r="B99" s="28" t="s">
        <v>45</v>
      </c>
      <c r="E99" s="30">
        <f>'3-Statement Model'!J163</f>
        <v>24.698367893201066</v>
      </c>
      <c r="F99" s="30">
        <f>'3-Statement Model'!K163</f>
        <v>-13.110972158658626</v>
      </c>
      <c r="G99" s="30">
        <f>'3-Statement Model'!L163</f>
        <v>-17.478100915458811</v>
      </c>
      <c r="H99" s="30">
        <f>'3-Statement Model'!M163</f>
        <v>-17.038558334419406</v>
      </c>
      <c r="I99" s="30">
        <f>'3-Statement Model'!N163</f>
        <v>-16.340292462629805</v>
      </c>
      <c r="J99" s="30">
        <f>'3-Statement Model'!O163</f>
        <v>-15.550070228652032</v>
      </c>
      <c r="K99" s="30">
        <f>'3-Statement Model'!P163</f>
        <v>-14.547002043811403</v>
      </c>
      <c r="L99" s="30">
        <f>'3-Statement Model'!Q163</f>
        <v>-13.335685234727521</v>
      </c>
      <c r="M99" s="30">
        <f>'3-Statement Model'!R163</f>
        <v>-11.925537127844791</v>
      </c>
      <c r="N99" s="30">
        <f>'3-Statement Model'!S163</f>
        <v>-10.330804847285208</v>
      </c>
    </row>
    <row r="100" spans="2:14">
      <c r="B100" s="28" t="s">
        <v>46</v>
      </c>
      <c r="E100" s="30">
        <f>'3-Statement Model'!J164</f>
        <v>0</v>
      </c>
      <c r="F100" s="30">
        <f>'3-Statement Model'!K164</f>
        <v>0</v>
      </c>
      <c r="G100" s="30">
        <f>'3-Statement Model'!L164</f>
        <v>0</v>
      </c>
      <c r="H100" s="30">
        <f>'3-Statement Model'!M164</f>
        <v>0</v>
      </c>
      <c r="I100" s="30">
        <f>'3-Statement Model'!N164</f>
        <v>0</v>
      </c>
      <c r="J100" s="30">
        <f>'3-Statement Model'!O164</f>
        <v>0</v>
      </c>
      <c r="K100" s="30">
        <f>'3-Statement Model'!P164</f>
        <v>0</v>
      </c>
      <c r="L100" s="30">
        <f>'3-Statement Model'!Q164</f>
        <v>0</v>
      </c>
      <c r="M100" s="30">
        <f>'3-Statement Model'!R164</f>
        <v>0</v>
      </c>
      <c r="N100" s="30">
        <f>'3-Statement Model'!S164</f>
        <v>0</v>
      </c>
    </row>
    <row r="101" spans="2:14">
      <c r="B101" s="28" t="s">
        <v>56</v>
      </c>
      <c r="E101" s="30">
        <f>'3-Statement Model'!J165</f>
        <v>-96.279511839635916</v>
      </c>
      <c r="F101" s="30">
        <f>'3-Statement Model'!K165</f>
        <v>47.06460567353929</v>
      </c>
      <c r="G101" s="30">
        <f>'3-Statement Model'!L165</f>
        <v>77.615656185416583</v>
      </c>
      <c r="H101" s="30">
        <f>'3-Statement Model'!M165</f>
        <v>75.663763012707705</v>
      </c>
      <c r="I101" s="30">
        <f>'3-Statement Model'!N165</f>
        <v>72.562947649929583</v>
      </c>
      <c r="J101" s="30">
        <f>'3-Statement Model'!O165</f>
        <v>69.053778231629849</v>
      </c>
      <c r="K101" s="30">
        <f>'3-Statement Model'!P165</f>
        <v>64.59941584170565</v>
      </c>
      <c r="L101" s="30">
        <f>'3-Statement Model'!Q165</f>
        <v>59.220276000356307</v>
      </c>
      <c r="M101" s="30">
        <f>'3-Statement Model'!R165</f>
        <v>52.958178581206766</v>
      </c>
      <c r="N101" s="30">
        <f>'3-Statement Model'!S165</f>
        <v>45.876391321000483</v>
      </c>
    </row>
    <row r="102" spans="2:14">
      <c r="B102" s="28" t="s">
        <v>57</v>
      </c>
      <c r="E102" s="30">
        <f>'3-Statement Model'!J166</f>
        <v>2.360593787479047</v>
      </c>
      <c r="F102" s="30">
        <f>'3-Statement Model'!K166</f>
        <v>33.001733709239147</v>
      </c>
      <c r="G102" s="30">
        <f>'3-Statement Model'!L166</f>
        <v>43.994268706783146</v>
      </c>
      <c r="H102" s="30">
        <f>'3-Statement Model'!M166</f>
        <v>42.887892532858132</v>
      </c>
      <c r="I102" s="30">
        <f>'3-Statement Model'!N166</f>
        <v>41.130281878194864</v>
      </c>
      <c r="J102" s="30">
        <f>'3-Statement Model'!O166</f>
        <v>39.141207122999845</v>
      </c>
      <c r="K102" s="30">
        <f>'3-Statement Model'!P166</f>
        <v>36.616376109118164</v>
      </c>
      <c r="L102" s="30">
        <f>'3-Statement Model'!Q166</f>
        <v>33.567360804443638</v>
      </c>
      <c r="M102" s="30">
        <f>'3-Statement Model'!R166</f>
        <v>30.017865637283421</v>
      </c>
      <c r="N102" s="30">
        <f>'3-Statement Model'!S166</f>
        <v>26.003752158612201</v>
      </c>
    </row>
    <row r="103" spans="2:14">
      <c r="B103" s="28" t="s">
        <v>59</v>
      </c>
      <c r="E103" s="30">
        <f>'3-Statement Model'!J167</f>
        <v>0</v>
      </c>
      <c r="F103" s="30">
        <f>'3-Statement Model'!K167</f>
        <v>0</v>
      </c>
      <c r="G103" s="30">
        <f>'3-Statement Model'!L167</f>
        <v>0</v>
      </c>
      <c r="H103" s="30">
        <f>'3-Statement Model'!M167</f>
        <v>0</v>
      </c>
      <c r="I103" s="30">
        <f>'3-Statement Model'!N167</f>
        <v>0</v>
      </c>
      <c r="J103" s="30">
        <f>'3-Statement Model'!O167</f>
        <v>0</v>
      </c>
      <c r="K103" s="30">
        <f>'3-Statement Model'!P167</f>
        <v>0</v>
      </c>
      <c r="L103" s="30">
        <f>'3-Statement Model'!Q167</f>
        <v>0</v>
      </c>
      <c r="M103" s="30">
        <f>'3-Statement Model'!R167</f>
        <v>0</v>
      </c>
      <c r="N103" s="30">
        <f>'3-Statement Model'!S167</f>
        <v>0</v>
      </c>
    </row>
    <row r="104" spans="2:14">
      <c r="B104" s="167" t="s">
        <v>368</v>
      </c>
      <c r="C104" s="161"/>
      <c r="D104" s="161"/>
      <c r="E104" s="168">
        <f>'3-Statement Model'!J168</f>
        <v>1642.5095099975849</v>
      </c>
      <c r="F104" s="168">
        <f>'3-Statement Model'!K168</f>
        <v>1948.9663113203428</v>
      </c>
      <c r="G104" s="168">
        <f>'3-Statement Model'!L168</f>
        <v>2181.323594468784</v>
      </c>
      <c r="H104" s="168">
        <f>'3-Statement Model'!M168</f>
        <v>2185.860086740875</v>
      </c>
      <c r="I104" s="168">
        <f>'3-Statement Model'!N168</f>
        <v>2308.4775985562683</v>
      </c>
      <c r="J104" s="168">
        <f>'3-Statement Model'!O168</f>
        <v>2441.6231343786276</v>
      </c>
      <c r="K104" s="168">
        <f>'3-Statement Model'!P168</f>
        <v>2563.7824831605631</v>
      </c>
      <c r="L104" s="168">
        <f>'3-Statement Model'!Q168</f>
        <v>2677.2750762568958</v>
      </c>
      <c r="M104" s="168">
        <f>'3-Statement Model'!R168</f>
        <v>2771.8260745779744</v>
      </c>
      <c r="N104" s="168">
        <f>'3-Statement Model'!S168</f>
        <v>2806.3752904866656</v>
      </c>
    </row>
    <row r="105" spans="2:14">
      <c r="B105" t="s">
        <v>369</v>
      </c>
      <c r="E105" s="30">
        <f>'3-Statement Model'!J172</f>
        <v>-498.20841467836948</v>
      </c>
      <c r="F105" s="30">
        <f>'3-Statement Model'!K172</f>
        <v>-522.68374183815627</v>
      </c>
      <c r="G105" s="30">
        <f>'3-Statement Model'!L172</f>
        <v>-555.31154646323989</v>
      </c>
      <c r="H105" s="30">
        <f>'3-Statement Model'!M172</f>
        <v>-587.11882089869209</v>
      </c>
      <c r="I105" s="30">
        <f>'3-Statement Model'!N172</f>
        <v>-576.64831766343764</v>
      </c>
      <c r="J105" s="30">
        <f>'3-Statement Model'!O172</f>
        <v>-597.7342990453667</v>
      </c>
      <c r="K105" s="30">
        <f>'3-Statement Model'!P172</f>
        <v>-565.62111860607047</v>
      </c>
      <c r="L105" s="30">
        <f>'3-Statement Model'!Q172</f>
        <v>-526.74438882779054</v>
      </c>
      <c r="M105" s="30">
        <f>'3-Statement Model'!R172</f>
        <v>-481.46511971434245</v>
      </c>
      <c r="N105" s="30">
        <f>'3-Statement Model'!S172</f>
        <v>-430.2964440406821</v>
      </c>
    </row>
    <row r="106" spans="2:14">
      <c r="B106" t="s">
        <v>80</v>
      </c>
      <c r="E106" s="30">
        <f>'3-Statement Model'!J173</f>
        <v>-25.047569614085607</v>
      </c>
      <c r="F106" s="30">
        <f>'3-Statement Model'!K173</f>
        <v>-26.36748855943792</v>
      </c>
      <c r="G106" s="30">
        <f>'3-Statement Model'!L173</f>
        <v>-28.127058807007874</v>
      </c>
      <c r="H106" s="30">
        <f>'3-Statement Model'!M173</f>
        <v>-29.842379049850308</v>
      </c>
      <c r="I106" s="30">
        <f>'3-Statement Model'!N173</f>
        <v>-31.487402876689796</v>
      </c>
      <c r="J106" s="30">
        <f>'3-Statement Model'!O173</f>
        <v>-33.052872778385989</v>
      </c>
      <c r="K106" s="30">
        <f>'3-Statement Model'!P173</f>
        <v>-34.517360946261853</v>
      </c>
      <c r="L106" s="30">
        <f>'3-Statement Model'!Q173</f>
        <v>-35.859902397617724</v>
      </c>
      <c r="M106" s="30">
        <f>'3-Statement Model'!R173</f>
        <v>-37.060480218854984</v>
      </c>
      <c r="N106" s="30">
        <f>'3-Statement Model'!S173</f>
        <v>-38.100511794977585</v>
      </c>
    </row>
    <row r="107" spans="2:14">
      <c r="B107" t="s">
        <v>81</v>
      </c>
      <c r="E107" s="30">
        <f>'3-Statement Model'!J174</f>
        <v>-253.78019999999998</v>
      </c>
      <c r="F107" s="30">
        <f>'3-Statement Model'!K174</f>
        <v>-317.03763201694773</v>
      </c>
      <c r="G107" s="30">
        <f>'3-Statement Model'!L174</f>
        <v>-333.74440170902511</v>
      </c>
      <c r="H107" s="30">
        <f>'3-Statement Model'!M174</f>
        <v>-356.01602299811589</v>
      </c>
      <c r="I107" s="30">
        <f>'3-Statement Model'!N174</f>
        <v>-377.72755335097219</v>
      </c>
      <c r="J107" s="30">
        <f>'3-Statement Model'!O174</f>
        <v>-341.38546117991785</v>
      </c>
      <c r="K107" s="30">
        <f>'3-Statement Model'!P174</f>
        <v>-298.63186507102751</v>
      </c>
      <c r="L107" s="30">
        <f>'3-Statement Model'!Q174</f>
        <v>-218.30443489973592</v>
      </c>
      <c r="M107" s="30">
        <f>'3-Statement Model'!R174</f>
        <v>-97.197991890753784</v>
      </c>
      <c r="N107" s="30">
        <f>'3-Statement Model'!S174</f>
        <v>0</v>
      </c>
    </row>
    <row r="108" spans="2:14">
      <c r="B108" t="s">
        <v>82</v>
      </c>
      <c r="E108" s="30">
        <f>'3-Statement Model'!J175</f>
        <v>14.626968292491904</v>
      </c>
      <c r="F108" s="30">
        <f>'3-Statement Model'!K175</f>
        <v>20.415725712432195</v>
      </c>
      <c r="G108" s="30">
        <f>'3-Statement Model'!L175</f>
        <v>27.410596486257667</v>
      </c>
      <c r="H108" s="30">
        <f>'3-Statement Model'!M175</f>
        <v>34.655265280445256</v>
      </c>
      <c r="I108" s="30">
        <f>'3-Statement Model'!N175</f>
        <v>42.21281646748497</v>
      </c>
      <c r="J108" s="30">
        <f>'3-Statement Model'!O175</f>
        <v>49.497181318030187</v>
      </c>
      <c r="K108" s="30">
        <f>'3-Statement Model'!P175</f>
        <v>57.94580303082499</v>
      </c>
      <c r="L108" s="30">
        <f>'3-Statement Model'!Q175</f>
        <v>68.360128607307104</v>
      </c>
      <c r="M108" s="30">
        <f>'3-Statement Model'!R175</f>
        <v>81.500982349802811</v>
      </c>
      <c r="N108" s="30">
        <f>'3-Statement Model'!S175</f>
        <v>97.553833608422508</v>
      </c>
    </row>
    <row r="109" spans="2:14">
      <c r="B109" s="167" t="s">
        <v>370</v>
      </c>
      <c r="C109" s="167"/>
      <c r="D109" s="167"/>
      <c r="E109" s="168">
        <f>'3-Statement Model'!J176</f>
        <v>-762.40921599996318</v>
      </c>
      <c r="F109" s="168">
        <f>'3-Statement Model'!K176</f>
        <v>-845.67313670210967</v>
      </c>
      <c r="G109" s="168">
        <f>'3-Statement Model'!L176</f>
        <v>-889.77241049301529</v>
      </c>
      <c r="H109" s="168">
        <f>'3-Statement Model'!M176</f>
        <v>-938.32195766621294</v>
      </c>
      <c r="I109" s="168">
        <f>'3-Statement Model'!N176</f>
        <v>-943.65045742361463</v>
      </c>
      <c r="J109" s="168">
        <f>'3-Statement Model'!O176</f>
        <v>-922.67545168564038</v>
      </c>
      <c r="K109" s="168">
        <f>'3-Statement Model'!P176</f>
        <v>-840.82454159253484</v>
      </c>
      <c r="L109" s="168">
        <f>'3-Statement Model'!Q176</f>
        <v>-712.54859751783715</v>
      </c>
      <c r="M109" s="168">
        <f>'3-Statement Model'!R176</f>
        <v>-534.22260947414838</v>
      </c>
      <c r="N109" s="168">
        <f>'3-Statement Model'!S176</f>
        <v>-370.84312222723719</v>
      </c>
    </row>
    <row r="110" spans="2:14">
      <c r="B110" t="s">
        <v>58</v>
      </c>
      <c r="E110" s="30">
        <f>'3-Statement Model'!J180</f>
        <v>-74.424574394144031</v>
      </c>
      <c r="F110" s="30">
        <f>'3-Statement Model'!K180</f>
        <v>-128.87020260736824</v>
      </c>
      <c r="G110" s="30">
        <f>'3-Statement Model'!L180</f>
        <v>-183.6955997873425</v>
      </c>
      <c r="H110" s="30">
        <f>'3-Statement Model'!M180</f>
        <v>0</v>
      </c>
      <c r="I110" s="30">
        <f>'3-Statement Model'!N180</f>
        <v>0</v>
      </c>
      <c r="J110" s="30">
        <f>'3-Statement Model'!O180</f>
        <v>0</v>
      </c>
      <c r="K110" s="30">
        <f>'3-Statement Model'!P180</f>
        <v>0</v>
      </c>
      <c r="L110" s="30">
        <f>'3-Statement Model'!Q180</f>
        <v>0</v>
      </c>
      <c r="M110" s="30">
        <f>'3-Statement Model'!R180</f>
        <v>0</v>
      </c>
      <c r="N110" s="30">
        <f>'3-Statement Model'!S180</f>
        <v>0</v>
      </c>
    </row>
    <row r="111" spans="2:14">
      <c r="B111" t="s">
        <v>60</v>
      </c>
      <c r="E111" s="30">
        <f>'3-Statement Model'!J181</f>
        <v>0</v>
      </c>
      <c r="F111" s="30">
        <f>'3-Statement Model'!K181</f>
        <v>0</v>
      </c>
      <c r="G111" s="30">
        <f>'3-Statement Model'!L181</f>
        <v>0</v>
      </c>
      <c r="H111" s="30">
        <f>'3-Statement Model'!M181</f>
        <v>0</v>
      </c>
      <c r="I111" s="30">
        <f>'3-Statement Model'!N181</f>
        <v>0</v>
      </c>
      <c r="J111" s="30">
        <f>'3-Statement Model'!O181</f>
        <v>0</v>
      </c>
      <c r="K111" s="30">
        <f>'3-Statement Model'!P181</f>
        <v>0</v>
      </c>
      <c r="L111" s="30">
        <f>'3-Statement Model'!Q181</f>
        <v>0</v>
      </c>
      <c r="M111" s="30">
        <f>'3-Statement Model'!R181</f>
        <v>0</v>
      </c>
      <c r="N111" s="30">
        <f>'3-Statement Model'!S181</f>
        <v>0</v>
      </c>
    </row>
    <row r="112" spans="2:14">
      <c r="B112" t="s">
        <v>65</v>
      </c>
      <c r="E112" s="30">
        <f>'3-Statement Model'!J182</f>
        <v>0</v>
      </c>
      <c r="F112" s="30">
        <f>'3-Statement Model'!K182</f>
        <v>0</v>
      </c>
      <c r="G112" s="30">
        <f>'3-Statement Model'!L182</f>
        <v>0</v>
      </c>
      <c r="H112" s="30">
        <f>'3-Statement Model'!M182</f>
        <v>0</v>
      </c>
      <c r="I112" s="30">
        <f>'3-Statement Model'!N182</f>
        <v>0</v>
      </c>
      <c r="J112" s="30">
        <f>'3-Statement Model'!O182</f>
        <v>0</v>
      </c>
      <c r="K112" s="30">
        <f>'3-Statement Model'!P182</f>
        <v>0</v>
      </c>
      <c r="L112" s="30">
        <f>'3-Statement Model'!Q182</f>
        <v>0</v>
      </c>
      <c r="M112" s="30">
        <f>'3-Statement Model'!R182</f>
        <v>0</v>
      </c>
      <c r="N112" s="30">
        <f>'3-Statement Model'!S182</f>
        <v>0</v>
      </c>
    </row>
    <row r="113" spans="1:14">
      <c r="B113" t="s">
        <v>84</v>
      </c>
      <c r="E113" s="30">
        <f>'3-Statement Model'!J183</f>
        <v>-524.71999413794913</v>
      </c>
      <c r="F113" s="30">
        <f>'3-Statement Model'!K183</f>
        <v>-634.98679970537228</v>
      </c>
      <c r="G113" s="30">
        <f>'3-Statement Model'!L183</f>
        <v>-756.19139053631829</v>
      </c>
      <c r="H113" s="30">
        <f>'3-Statement Model'!M183</f>
        <v>-880.60311527296619</v>
      </c>
      <c r="I113" s="30">
        <f>'3-Statement Model'!N183</f>
        <v>-1010.9724936184747</v>
      </c>
      <c r="J113" s="30">
        <f>'3-Statement Model'!O183</f>
        <v>-1108.7030850100948</v>
      </c>
      <c r="K113" s="30">
        <f>'3-Statement Model'!P183</f>
        <v>-1217.5486607005655</v>
      </c>
      <c r="L113" s="30">
        <f>'3-Statement Model'!Q183</f>
        <v>-1327.3571580117043</v>
      </c>
      <c r="M113" s="30">
        <f>'3-Statement Model'!R183</f>
        <v>-1459.2809394861054</v>
      </c>
      <c r="N113" s="30">
        <f>'3-Statement Model'!S183</f>
        <v>-1721.4495904113212</v>
      </c>
    </row>
    <row r="114" spans="1:14">
      <c r="B114" t="s">
        <v>68</v>
      </c>
      <c r="E114" s="30">
        <f>'3-Statement Model'!J184</f>
        <v>0</v>
      </c>
      <c r="F114" s="30">
        <f>'3-Statement Model'!K184</f>
        <v>0</v>
      </c>
      <c r="G114" s="30">
        <f>'3-Statement Model'!L184</f>
        <v>0</v>
      </c>
      <c r="H114" s="30">
        <f>'3-Statement Model'!M184</f>
        <v>0</v>
      </c>
      <c r="I114" s="30">
        <f>'3-Statement Model'!N184</f>
        <v>0</v>
      </c>
      <c r="J114" s="30">
        <f>'3-Statement Model'!O184</f>
        <v>0</v>
      </c>
      <c r="K114" s="30">
        <f>'3-Statement Model'!P184</f>
        <v>0</v>
      </c>
      <c r="L114" s="30">
        <f>'3-Statement Model'!Q184</f>
        <v>0</v>
      </c>
      <c r="M114" s="30">
        <f>'3-Statement Model'!R184</f>
        <v>0</v>
      </c>
      <c r="N114" s="30">
        <f>'3-Statement Model'!S184</f>
        <v>0</v>
      </c>
    </row>
    <row r="115" spans="1:14">
      <c r="B115" t="s">
        <v>85</v>
      </c>
      <c r="E115" s="30">
        <f>'3-Statement Model'!J185</f>
        <v>-0.95608420630611168</v>
      </c>
      <c r="F115" s="30">
        <f>'3-Statement Model'!K185</f>
        <v>-1.0973604943118898</v>
      </c>
      <c r="G115" s="30">
        <f>'3-Statement Model'!L185</f>
        <v>-1.2427618562436888</v>
      </c>
      <c r="H115" s="30">
        <f>'3-Statement Model'!M185</f>
        <v>-1.3795987690932545</v>
      </c>
      <c r="I115" s="30">
        <f>'3-Statement Model'!N185</f>
        <v>-1.5131349940381991</v>
      </c>
      <c r="J115" s="30">
        <f>'3-Statement Model'!O185</f>
        <v>-1.5884946358545986</v>
      </c>
      <c r="K115" s="30">
        <f>'3-Statement Model'!P185</f>
        <v>-1.6729495907216225</v>
      </c>
      <c r="L115" s="30">
        <f>'3-Statement Model'!Q185</f>
        <v>-1.7520255433623924</v>
      </c>
      <c r="M115" s="30">
        <f>'3-Statement Model'!R185</f>
        <v>-1.8531959273539986</v>
      </c>
      <c r="N115" s="30">
        <f>'3-Statement Model'!S185</f>
        <v>-2.106347884715349</v>
      </c>
    </row>
    <row r="116" spans="1:14">
      <c r="B116" t="s">
        <v>67</v>
      </c>
      <c r="E116" s="30">
        <f>'3-Statement Model'!J186</f>
        <v>0</v>
      </c>
      <c r="F116" s="30">
        <f>'3-Statement Model'!K186</f>
        <v>0</v>
      </c>
      <c r="G116" s="30">
        <f>'3-Statement Model'!L186</f>
        <v>0</v>
      </c>
      <c r="H116" s="30">
        <f>'3-Statement Model'!M186</f>
        <v>0</v>
      </c>
      <c r="I116" s="30">
        <f>'3-Statement Model'!N186</f>
        <v>0</v>
      </c>
      <c r="J116" s="30">
        <f>'3-Statement Model'!O186</f>
        <v>0</v>
      </c>
      <c r="K116" s="30">
        <f>'3-Statement Model'!P186</f>
        <v>0</v>
      </c>
      <c r="L116" s="30">
        <f>'3-Statement Model'!Q186</f>
        <v>0</v>
      </c>
      <c r="M116" s="30">
        <f>'3-Statement Model'!R186</f>
        <v>0</v>
      </c>
      <c r="N116" s="30">
        <f>'3-Statement Model'!S186</f>
        <v>0</v>
      </c>
    </row>
    <row r="117" spans="1:14">
      <c r="B117" s="167" t="s">
        <v>371</v>
      </c>
      <c r="C117" s="161"/>
      <c r="D117" s="161"/>
      <c r="E117" s="168">
        <f>'3-Statement Model'!J187</f>
        <v>-600.10065273839928</v>
      </c>
      <c r="F117" s="168">
        <f>'3-Statement Model'!K187</f>
        <v>-764.95436280705246</v>
      </c>
      <c r="G117" s="168">
        <f>'3-Statement Model'!L187</f>
        <v>-941.12975217990447</v>
      </c>
      <c r="H117" s="168">
        <f>'3-Statement Model'!M187</f>
        <v>-881.98271404205946</v>
      </c>
      <c r="I117" s="168">
        <f>'3-Statement Model'!N187</f>
        <v>-1012.4856286125129</v>
      </c>
      <c r="J117" s="168">
        <f>'3-Statement Model'!O187</f>
        <v>-1110.2915796459495</v>
      </c>
      <c r="K117" s="168">
        <f>'3-Statement Model'!P187</f>
        <v>-1219.2216102912871</v>
      </c>
      <c r="L117" s="168">
        <f>'3-Statement Model'!Q187</f>
        <v>-1329.1091835550667</v>
      </c>
      <c r="M117" s="168">
        <f>'3-Statement Model'!R187</f>
        <v>-1461.1341354134593</v>
      </c>
      <c r="N117" s="168">
        <f>'3-Statement Model'!S187</f>
        <v>-1723.5559382960366</v>
      </c>
    </row>
    <row r="118" spans="1:14">
      <c r="B118" t="s">
        <v>86</v>
      </c>
      <c r="E118" s="30">
        <f>'3-Statement Model'!J189</f>
        <v>0</v>
      </c>
      <c r="F118" s="30">
        <f>'3-Statement Model'!K189</f>
        <v>0</v>
      </c>
      <c r="G118" s="30">
        <f>'3-Statement Model'!L189</f>
        <v>0</v>
      </c>
      <c r="H118" s="30">
        <f>'3-Statement Model'!M189</f>
        <v>0</v>
      </c>
      <c r="I118" s="30">
        <f>'3-Statement Model'!N189</f>
        <v>0</v>
      </c>
      <c r="J118" s="30">
        <f>'3-Statement Model'!O189</f>
        <v>0</v>
      </c>
      <c r="K118" s="30">
        <f>'3-Statement Model'!P189</f>
        <v>0</v>
      </c>
      <c r="L118" s="30">
        <f>'3-Statement Model'!Q189</f>
        <v>0</v>
      </c>
      <c r="M118" s="30">
        <f>'3-Statement Model'!R189</f>
        <v>0</v>
      </c>
      <c r="N118" s="30">
        <f>'3-Statement Model'!S189</f>
        <v>0</v>
      </c>
    </row>
    <row r="119" spans="1:14">
      <c r="A119" t="s">
        <v>0</v>
      </c>
      <c r="B119" s="167" t="s">
        <v>372</v>
      </c>
      <c r="C119" s="161"/>
      <c r="D119" s="161"/>
      <c r="E119" s="168">
        <f>'3-Statement Model'!J191</f>
        <v>279.99964125922247</v>
      </c>
      <c r="F119" s="168">
        <f>'3-Statement Model'!K191</f>
        <v>338.33881181118056</v>
      </c>
      <c r="G119" s="168">
        <f>'3-Statement Model'!L191</f>
        <v>350.42143179586424</v>
      </c>
      <c r="H119" s="168">
        <f>'3-Statement Model'!M191</f>
        <v>365.55541503260258</v>
      </c>
      <c r="I119" s="168">
        <f>'3-Statement Model'!N191</f>
        <v>352.34151252014078</v>
      </c>
      <c r="J119" s="168">
        <f>'3-Statement Model'!O191</f>
        <v>408.65610304703773</v>
      </c>
      <c r="K119" s="168">
        <f>'3-Statement Model'!P191</f>
        <v>503.73633127674111</v>
      </c>
      <c r="L119" s="168">
        <f>'3-Statement Model'!Q191</f>
        <v>635.61729518399193</v>
      </c>
      <c r="M119" s="168">
        <f>'3-Statement Model'!R191</f>
        <v>776.46932969036698</v>
      </c>
      <c r="N119" s="168">
        <f>'3-Statement Model'!S191</f>
        <v>711.97622996339192</v>
      </c>
    </row>
    <row r="121" spans="1:14">
      <c r="B121" s="3" t="s">
        <v>89</v>
      </c>
    </row>
    <row r="123" spans="1:14">
      <c r="B123" s="180" t="s">
        <v>352</v>
      </c>
      <c r="C123" s="181"/>
      <c r="D123" s="181">
        <f>2024</f>
        <v>2024</v>
      </c>
      <c r="E123" s="182">
        <f t="shared" ref="E123:N123" si="10">D123+1</f>
        <v>2025</v>
      </c>
      <c r="F123" s="182">
        <f t="shared" si="10"/>
        <v>2026</v>
      </c>
      <c r="G123" s="182">
        <f t="shared" si="10"/>
        <v>2027</v>
      </c>
      <c r="H123" s="182">
        <f t="shared" si="10"/>
        <v>2028</v>
      </c>
      <c r="I123" s="182">
        <f t="shared" si="10"/>
        <v>2029</v>
      </c>
      <c r="J123" s="182">
        <f t="shared" si="10"/>
        <v>2030</v>
      </c>
      <c r="K123" s="182">
        <f t="shared" si="10"/>
        <v>2031</v>
      </c>
      <c r="L123" s="182">
        <f t="shared" si="10"/>
        <v>2032</v>
      </c>
      <c r="M123" s="182">
        <f t="shared" si="10"/>
        <v>2033</v>
      </c>
      <c r="N123" s="182">
        <f t="shared" si="10"/>
        <v>2034</v>
      </c>
    </row>
    <row r="124" spans="1:14">
      <c r="B124" t="s">
        <v>373</v>
      </c>
      <c r="E124" s="30">
        <f>'3-Statement Model'!J197</f>
        <v>2044.8</v>
      </c>
      <c r="F124" s="30">
        <f>'3-Statement Model'!K197</f>
        <v>2167.5162171272045</v>
      </c>
      <c r="G124" s="30">
        <f>'3-Statement Model'!L197</f>
        <v>2288.599828742244</v>
      </c>
      <c r="H124" s="30">
        <f>'3-Statement Model'!M197</f>
        <v>2412.8189377366775</v>
      </c>
      <c r="I124" s="30">
        <f>'3-Statement Model'!N197</f>
        <v>2538.4135257446114</v>
      </c>
      <c r="J124" s="30">
        <f>'3-Statement Model'!O197</f>
        <v>2631.2527023124021</v>
      </c>
      <c r="K124" s="30">
        <f>'3-Statement Model'!P197</f>
        <v>2722.9493597335413</v>
      </c>
      <c r="L124" s="30">
        <f>'3-Statement Model'!Q197</f>
        <v>2762.9959741291877</v>
      </c>
      <c r="M124" s="30">
        <f>'3-Statement Model'!R197</f>
        <v>2747.6157734353201</v>
      </c>
      <c r="N124" s="30">
        <f>'3-Statement Model'!S197</f>
        <v>2715.606590732777</v>
      </c>
    </row>
    <row r="125" spans="1:14">
      <c r="B125" t="s">
        <v>91</v>
      </c>
      <c r="E125" s="30">
        <f>'3-Statement Model'!J198</f>
        <v>373.20623181544397</v>
      </c>
      <c r="F125" s="30">
        <f>'3-Statement Model'!K198</f>
        <v>391.09438297718964</v>
      </c>
      <c r="G125" s="30">
        <f>'3-Statement Model'!L198</f>
        <v>414.94089164279575</v>
      </c>
      <c r="H125" s="30">
        <f>'3-Statement Model'!M198</f>
        <v>438.18770380714238</v>
      </c>
      <c r="I125" s="30">
        <f>'3-Statement Model'!N198</f>
        <v>426.73182647489728</v>
      </c>
      <c r="J125" s="30">
        <f>'3-Statement Model'!O198</f>
        <v>447.9477976065412</v>
      </c>
      <c r="K125" s="30">
        <f>'3-Statement Model'!P198</f>
        <v>417.11740239770972</v>
      </c>
      <c r="L125" s="30">
        <f>'3-Statement Model'!Q198</f>
        <v>380.69213490545229</v>
      </c>
      <c r="M125" s="30">
        <f>'3-Statement Model'!R198</f>
        <v>339.0260025934752</v>
      </c>
      <c r="N125" s="30">
        <f>'3-Statement Model'!S198</f>
        <v>292.60158194766382</v>
      </c>
    </row>
    <row r="126" spans="1:14">
      <c r="B126" t="s">
        <v>23</v>
      </c>
      <c r="E126" s="30">
        <f>'3-Statement Model'!J199</f>
        <v>250.49001468823951</v>
      </c>
      <c r="F126" s="30">
        <f>'3-Statement Model'!K199</f>
        <v>270.01077136215025</v>
      </c>
      <c r="G126" s="30">
        <f>'3-Statement Model'!L199</f>
        <v>290.72178264836197</v>
      </c>
      <c r="H126" s="30">
        <f>'3-Statement Model'!M199</f>
        <v>312.59311579920853</v>
      </c>
      <c r="I126" s="30">
        <f>'3-Statement Model'!N199</f>
        <v>333.89264990710649</v>
      </c>
      <c r="J126" s="30">
        <f>'3-Statement Model'!O199</f>
        <v>356.25114018540205</v>
      </c>
      <c r="K126" s="30">
        <f>'3-Statement Model'!P199</f>
        <v>377.07078800206301</v>
      </c>
      <c r="L126" s="30">
        <f>'3-Statement Model'!Q199</f>
        <v>396.07233559932001</v>
      </c>
      <c r="M126" s="30">
        <f>'3-Statement Model'!R199</f>
        <v>371.03518529601843</v>
      </c>
      <c r="N126" s="30">
        <f>'3-Statement Model'!S199</f>
        <v>195.7367523746436</v>
      </c>
    </row>
    <row r="127" spans="1:14">
      <c r="B127" s="167" t="s">
        <v>374</v>
      </c>
      <c r="C127" s="167"/>
      <c r="D127" s="168">
        <f>'3-Statement Model'!I200</f>
        <v>2044.8</v>
      </c>
      <c r="E127" s="168">
        <f>'3-Statement Model'!J200</f>
        <v>2167.5162171272045</v>
      </c>
      <c r="F127" s="168">
        <f>'3-Statement Model'!K200</f>
        <v>2288.599828742244</v>
      </c>
      <c r="G127" s="168">
        <f>'3-Statement Model'!L200</f>
        <v>2412.8189377366775</v>
      </c>
      <c r="H127" s="168">
        <f>'3-Statement Model'!M200</f>
        <v>2538.4135257446114</v>
      </c>
      <c r="I127" s="168">
        <f>'3-Statement Model'!N200</f>
        <v>2631.2527023124021</v>
      </c>
      <c r="J127" s="168">
        <f>'3-Statement Model'!O200</f>
        <v>2722.9493597335413</v>
      </c>
      <c r="K127" s="168">
        <f>'3-Statement Model'!P200</f>
        <v>2762.9959741291877</v>
      </c>
      <c r="L127" s="168">
        <f>'3-Statement Model'!Q200</f>
        <v>2747.6157734353201</v>
      </c>
      <c r="M127" s="168">
        <f>'3-Statement Model'!R200</f>
        <v>2715.606590732777</v>
      </c>
      <c r="N127" s="168">
        <f>'3-Statement Model'!S200</f>
        <v>2812.4714203057974</v>
      </c>
    </row>
    <row r="128" spans="1:14"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 spans="2:14">
      <c r="B129" t="s">
        <v>93</v>
      </c>
      <c r="D129" s="30"/>
      <c r="E129" s="30">
        <f>'3-Statement Model'!J202</f>
        <v>413.7</v>
      </c>
      <c r="F129" s="30">
        <f>'3-Statement Model'!K202</f>
        <v>405.94906303226946</v>
      </c>
      <c r="G129" s="30">
        <f>'3-Statement Model'!L202</f>
        <v>383.92616189117507</v>
      </c>
      <c r="H129" s="30">
        <f>'3-Statement Model'!M202</f>
        <v>349.82541653815332</v>
      </c>
      <c r="I129" s="30">
        <f>'3-Statement Model'!N202</f>
        <v>337.30191192183645</v>
      </c>
      <c r="J129" s="30">
        <f>'3-Statement Model'!O202</f>
        <v>382.92270225335204</v>
      </c>
      <c r="K129" s="30">
        <f>'3-Statement Model'!P202</f>
        <v>407.70702082925197</v>
      </c>
      <c r="L129" s="30">
        <f>'3-Statement Model'!Q202</f>
        <v>431.20855417468715</v>
      </c>
      <c r="M129" s="30">
        <f>'3-Statement Model'!R202</f>
        <v>452.25862523409978</v>
      </c>
      <c r="N129" s="30">
        <f>'3-Statement Model'!S202</f>
        <v>469.69555949204141</v>
      </c>
    </row>
    <row r="130" spans="2:14">
      <c r="B130" t="s">
        <v>91</v>
      </c>
      <c r="D130" s="30"/>
      <c r="E130" s="30">
        <f>'3-Statement Model'!J203</f>
        <v>125.00218286292552</v>
      </c>
      <c r="F130" s="30">
        <f>'3-Statement Model'!K203</f>
        <v>131.58935886096666</v>
      </c>
      <c r="G130" s="30">
        <f>'3-Statement Model'!L203</f>
        <v>140.3706548204442</v>
      </c>
      <c r="H130" s="30">
        <f>'3-Statement Model'!M203</f>
        <v>148.93111709154968</v>
      </c>
      <c r="I130" s="30">
        <f>'3-Statement Model'!N203</f>
        <v>149.91649118854033</v>
      </c>
      <c r="J130" s="30">
        <f>'3-Statement Model'!O203</f>
        <v>149.7865014388255</v>
      </c>
      <c r="K130" s="30">
        <f>'3-Statement Model'!P203</f>
        <v>148.50371620836074</v>
      </c>
      <c r="L130" s="30">
        <f>'3-Statement Model'!Q203</f>
        <v>146.05225392233825</v>
      </c>
      <c r="M130" s="30">
        <f>'3-Statement Model'!R203</f>
        <v>142.43911712086722</v>
      </c>
      <c r="N130" s="30">
        <f>'3-Statement Model'!S203</f>
        <v>137.69486209301826</v>
      </c>
    </row>
    <row r="131" spans="2:14">
      <c r="B131" t="s">
        <v>23</v>
      </c>
      <c r="D131" s="30"/>
      <c r="E131" s="30">
        <f>'3-Statement Model'!J204</f>
        <v>132.75311983065606</v>
      </c>
      <c r="F131" s="30">
        <f>'3-Statement Model'!K204</f>
        <v>153.61226000206102</v>
      </c>
      <c r="G131" s="30">
        <f>'3-Statement Model'!L204</f>
        <v>174.47140017346595</v>
      </c>
      <c r="H131" s="30">
        <f>'3-Statement Model'!M204</f>
        <v>161.45462170786649</v>
      </c>
      <c r="I131" s="30">
        <f>'3-Statement Model'!N204</f>
        <v>104.29570085702477</v>
      </c>
      <c r="J131" s="30">
        <f>'3-Statement Model'!O204</f>
        <v>125.00218286292554</v>
      </c>
      <c r="K131" s="30">
        <f>'3-Statement Model'!P204</f>
        <v>125.00218286292554</v>
      </c>
      <c r="L131" s="30">
        <f>'3-Statement Model'!Q204</f>
        <v>125.00218286292554</v>
      </c>
      <c r="M131" s="30">
        <f>'3-Statement Model'!R204</f>
        <v>125.00218286292554</v>
      </c>
      <c r="N131" s="30">
        <f>'3-Statement Model'!S204</f>
        <v>125.00218286292554</v>
      </c>
    </row>
    <row r="132" spans="2:14">
      <c r="B132" s="167" t="s">
        <v>94</v>
      </c>
      <c r="C132" s="167"/>
      <c r="D132" s="168">
        <f>'3-Statement Model'!I205</f>
        <v>413.7</v>
      </c>
      <c r="E132" s="168">
        <f>'3-Statement Model'!J205</f>
        <v>405.94906303226946</v>
      </c>
      <c r="F132" s="168">
        <f>'3-Statement Model'!K205</f>
        <v>383.92616189117507</v>
      </c>
      <c r="G132" s="168">
        <f>'3-Statement Model'!L205</f>
        <v>349.82541653815332</v>
      </c>
      <c r="H132" s="168">
        <f>'3-Statement Model'!M205</f>
        <v>337.30191192183645</v>
      </c>
      <c r="I132" s="168">
        <f>'3-Statement Model'!N205</f>
        <v>382.92270225335204</v>
      </c>
      <c r="J132" s="168">
        <f>'3-Statement Model'!O205</f>
        <v>407.70702082925197</v>
      </c>
      <c r="K132" s="168">
        <f>'3-Statement Model'!P205</f>
        <v>431.20855417468715</v>
      </c>
      <c r="L132" s="168">
        <f>'3-Statement Model'!Q205</f>
        <v>452.25862523409978</v>
      </c>
      <c r="M132" s="168">
        <f>'3-Statement Model'!R205</f>
        <v>469.69555949204141</v>
      </c>
      <c r="N132" s="168">
        <f>'3-Statement Model'!S205</f>
        <v>482.38823872213413</v>
      </c>
    </row>
    <row r="133" spans="2:14"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 spans="2:14">
      <c r="B134" t="s">
        <v>95</v>
      </c>
      <c r="D134" s="30"/>
      <c r="E134" s="30">
        <f>'3-Statement Model'!J207</f>
        <v>2046.7000000000007</v>
      </c>
      <c r="F134" s="30">
        <f>'3-Statement Model'!K207</f>
        <v>1856.4500854765356</v>
      </c>
      <c r="G134" s="30">
        <f>'3-Statement Model'!L207</f>
        <v>1665.7555783978748</v>
      </c>
      <c r="H134" s="30">
        <f>'3-Statement Model'!M207</f>
        <v>1474.9383796809134</v>
      </c>
      <c r="I134" s="30">
        <f>'3-Statement Model'!N207</f>
        <v>1283.8394501445182</v>
      </c>
      <c r="J134" s="30">
        <f>'3-Statement Model'!O207</f>
        <v>1092.278408430217</v>
      </c>
      <c r="K134" s="30">
        <f>'3-Statement Model'!P207</f>
        <v>900.07093941655148</v>
      </c>
      <c r="L134" s="30">
        <f>'3-Statement Model'!Q207</f>
        <v>707.01805786782029</v>
      </c>
      <c r="M134" s="30">
        <f>'3-Statement Model'!R207</f>
        <v>512.90797423603544</v>
      </c>
      <c r="N134" s="30">
        <f>'3-Statement Model'!S207</f>
        <v>317.51838226124835</v>
      </c>
    </row>
    <row r="135" spans="2:14">
      <c r="B135" t="s">
        <v>91</v>
      </c>
      <c r="D135" s="30"/>
      <c r="E135" s="30">
        <f>'3-Statement Model'!J208</f>
        <v>25.047569614085607</v>
      </c>
      <c r="F135" s="30">
        <f>'3-Statement Model'!K208</f>
        <v>26.36748855943792</v>
      </c>
      <c r="G135" s="30">
        <f>'3-Statement Model'!L208</f>
        <v>28.127058807007874</v>
      </c>
      <c r="H135" s="30">
        <f>'3-Statement Model'!M208</f>
        <v>29.842379049850308</v>
      </c>
      <c r="I135" s="30">
        <f>'3-Statement Model'!N208</f>
        <v>31.487402876689796</v>
      </c>
      <c r="J135" s="30">
        <f>'3-Statement Model'!O208</f>
        <v>33.052872778385989</v>
      </c>
      <c r="K135" s="30">
        <f>'3-Statement Model'!P208</f>
        <v>34.517360946261853</v>
      </c>
      <c r="L135" s="30">
        <f>'3-Statement Model'!Q208</f>
        <v>35.859902397617724</v>
      </c>
      <c r="M135" s="30">
        <f>'3-Statement Model'!R208</f>
        <v>37.060480218854984</v>
      </c>
      <c r="N135" s="30">
        <f>'3-Statement Model'!S208</f>
        <v>38.100511794977585</v>
      </c>
    </row>
    <row r="136" spans="2:14">
      <c r="B136" t="s">
        <v>24</v>
      </c>
      <c r="D136" s="30"/>
      <c r="E136" s="30">
        <f>'3-Statement Model'!J209</f>
        <v>215.29748413755073</v>
      </c>
      <c r="F136" s="30">
        <f>'3-Statement Model'!K209</f>
        <v>217.06199563809881</v>
      </c>
      <c r="G136" s="30">
        <f>'3-Statement Model'!L209</f>
        <v>218.94425752396938</v>
      </c>
      <c r="H136" s="30">
        <f>'3-Statement Model'!M209</f>
        <v>220.94130858624538</v>
      </c>
      <c r="I136" s="30">
        <f>'3-Statement Model'!N209</f>
        <v>223.04844459099104</v>
      </c>
      <c r="J136" s="30">
        <f>'3-Statement Model'!O209</f>
        <v>225.26034179205152</v>
      </c>
      <c r="K136" s="30">
        <f>'3-Statement Model'!P209</f>
        <v>227.57024249499307</v>
      </c>
      <c r="L136" s="30">
        <f>'3-Statement Model'!Q209</f>
        <v>229.96998602940261</v>
      </c>
      <c r="M136" s="30">
        <f>'3-Statement Model'!R209</f>
        <v>232.45007219364211</v>
      </c>
      <c r="N136" s="30">
        <f>'3-Statement Model'!S209</f>
        <v>145.48674152722327</v>
      </c>
    </row>
    <row r="137" spans="2:14">
      <c r="B137" s="167" t="s">
        <v>96</v>
      </c>
      <c r="C137" s="167"/>
      <c r="D137" s="168">
        <f>'3-Statement Model'!I210</f>
        <v>2046.7000000000007</v>
      </c>
      <c r="E137" s="168">
        <f>'3-Statement Model'!J210</f>
        <v>1856.4500854765356</v>
      </c>
      <c r="F137" s="168">
        <f>'3-Statement Model'!K210</f>
        <v>1665.7555783978748</v>
      </c>
      <c r="G137" s="168">
        <f>'3-Statement Model'!L210</f>
        <v>1474.9383796809134</v>
      </c>
      <c r="H137" s="168">
        <f>'3-Statement Model'!M210</f>
        <v>1283.8394501445182</v>
      </c>
      <c r="I137" s="168">
        <f>'3-Statement Model'!N210</f>
        <v>1092.278408430217</v>
      </c>
      <c r="J137" s="168">
        <f>'3-Statement Model'!O210</f>
        <v>900.07093941655148</v>
      </c>
      <c r="K137" s="168">
        <f>'3-Statement Model'!P210</f>
        <v>707.01805786782029</v>
      </c>
      <c r="L137" s="168">
        <f>'3-Statement Model'!Q210</f>
        <v>512.90797423603544</v>
      </c>
      <c r="M137" s="168">
        <f>'3-Statement Model'!R210</f>
        <v>317.51838226124835</v>
      </c>
      <c r="N137" s="168">
        <f>'3-Statement Model'!S210</f>
        <v>210.13215252900267</v>
      </c>
    </row>
    <row r="138" spans="2:14"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 spans="2:14">
      <c r="B139" t="s">
        <v>97</v>
      </c>
      <c r="D139" s="30"/>
      <c r="E139" s="30">
        <f>'3-Statement Model'!J212</f>
        <v>6569.4</v>
      </c>
      <c r="F139" s="30">
        <f>'3-Statement Model'!K212</f>
        <v>6823.1801999999998</v>
      </c>
      <c r="G139" s="30">
        <f>'3-Statement Model'!L212</f>
        <v>7140.2178320169478</v>
      </c>
      <c r="H139" s="30">
        <f>'3-Statement Model'!M212</f>
        <v>7473.9622337259725</v>
      </c>
      <c r="I139" s="30">
        <f>'3-Statement Model'!N212</f>
        <v>7829.9782567240882</v>
      </c>
      <c r="J139" s="30">
        <f>'3-Statement Model'!O212</f>
        <v>8207.7058100750601</v>
      </c>
      <c r="K139" s="30">
        <f>'3-Statement Model'!P212</f>
        <v>8549.091271254978</v>
      </c>
      <c r="L139" s="30">
        <f>'3-Statement Model'!Q212</f>
        <v>8847.7231363260053</v>
      </c>
      <c r="M139" s="30">
        <f>'3-Statement Model'!R212</f>
        <v>9066.0275712257408</v>
      </c>
      <c r="N139" s="30">
        <f>'3-Statement Model'!S212</f>
        <v>9163.2255631164953</v>
      </c>
    </row>
    <row r="140" spans="2:14">
      <c r="B140" t="s">
        <v>98</v>
      </c>
      <c r="D140" s="30"/>
      <c r="E140" s="30">
        <f>'3-Statement Model'!J213</f>
        <v>253.78019999999998</v>
      </c>
      <c r="F140" s="30">
        <f>'3-Statement Model'!K213</f>
        <v>317.03763201694773</v>
      </c>
      <c r="G140" s="30">
        <f>'3-Statement Model'!L213</f>
        <v>333.74440170902511</v>
      </c>
      <c r="H140" s="30">
        <f>'3-Statement Model'!M213</f>
        <v>356.01602299811589</v>
      </c>
      <c r="I140" s="30">
        <f>'3-Statement Model'!N213</f>
        <v>377.72755335097219</v>
      </c>
      <c r="J140" s="30">
        <f>'3-Statement Model'!O213</f>
        <v>341.38546117991785</v>
      </c>
      <c r="K140" s="30">
        <f>'3-Statement Model'!P213</f>
        <v>298.63186507102751</v>
      </c>
      <c r="L140" s="30">
        <f>'3-Statement Model'!Q213</f>
        <v>218.30443489973592</v>
      </c>
      <c r="M140" s="30">
        <f>'3-Statement Model'!R213</f>
        <v>97.197991890753784</v>
      </c>
      <c r="N140" s="30">
        <f>'3-Statement Model'!S213</f>
        <v>0</v>
      </c>
    </row>
    <row r="141" spans="2:14">
      <c r="B141" t="s">
        <v>24</v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 spans="2:14">
      <c r="B142" s="167" t="s">
        <v>99</v>
      </c>
      <c r="C142" s="167"/>
      <c r="D142" s="168">
        <f>'3-Statement Model'!I215</f>
        <v>6569.4</v>
      </c>
      <c r="E142" s="168">
        <f>'3-Statement Model'!J215</f>
        <v>6823.1801999999998</v>
      </c>
      <c r="F142" s="168">
        <f>'3-Statement Model'!K215</f>
        <v>7140.2178320169478</v>
      </c>
      <c r="G142" s="168">
        <f>'3-Statement Model'!L215</f>
        <v>7473.9622337259725</v>
      </c>
      <c r="H142" s="168">
        <f>'3-Statement Model'!M215</f>
        <v>7829.9782567240882</v>
      </c>
      <c r="I142" s="168">
        <f>'3-Statement Model'!N215</f>
        <v>8207.7058100750601</v>
      </c>
      <c r="J142" s="168">
        <f>'3-Statement Model'!O215</f>
        <v>8549.091271254978</v>
      </c>
      <c r="K142" s="168">
        <f>'3-Statement Model'!P215</f>
        <v>8847.7231363260053</v>
      </c>
      <c r="L142" s="168">
        <f>'3-Statement Model'!Q215</f>
        <v>9066.0275712257408</v>
      </c>
      <c r="M142" s="168">
        <f>'3-Statement Model'!R215</f>
        <v>9163.2255631164953</v>
      </c>
      <c r="N142" s="168">
        <f>'3-Statement Model'!S215</f>
        <v>9163.2255631164953</v>
      </c>
    </row>
    <row r="144" spans="2:14">
      <c r="B144" s="3" t="s">
        <v>100</v>
      </c>
    </row>
    <row r="146" spans="2:14">
      <c r="B146" s="180" t="s">
        <v>352</v>
      </c>
      <c r="C146" s="181"/>
      <c r="D146" s="181"/>
      <c r="E146" s="182">
        <f>2025</f>
        <v>2025</v>
      </c>
      <c r="F146" s="182">
        <f t="shared" ref="F146:N146" si="11">E146+1</f>
        <v>2026</v>
      </c>
      <c r="G146" s="182">
        <f t="shared" si="11"/>
        <v>2027</v>
      </c>
      <c r="H146" s="182">
        <f t="shared" si="11"/>
        <v>2028</v>
      </c>
      <c r="I146" s="182">
        <f t="shared" si="11"/>
        <v>2029</v>
      </c>
      <c r="J146" s="182">
        <f t="shared" si="11"/>
        <v>2030</v>
      </c>
      <c r="K146" s="182">
        <f t="shared" si="11"/>
        <v>2031</v>
      </c>
      <c r="L146" s="182">
        <f t="shared" si="11"/>
        <v>2032</v>
      </c>
      <c r="M146" s="182">
        <f t="shared" si="11"/>
        <v>2033</v>
      </c>
      <c r="N146" s="182">
        <f t="shared" si="11"/>
        <v>2034</v>
      </c>
    </row>
    <row r="147" spans="2:14">
      <c r="B147" s="3" t="s">
        <v>375</v>
      </c>
    </row>
    <row r="148" spans="2:14">
      <c r="B148" s="28" t="s">
        <v>103</v>
      </c>
      <c r="E148" s="30">
        <f>'3-Statement Model'!J235</f>
        <v>373.20623181544397</v>
      </c>
      <c r="F148" s="30">
        <f>'3-Statement Model'!K235</f>
        <v>391.09438297718964</v>
      </c>
      <c r="G148" s="30">
        <f>'3-Statement Model'!L235</f>
        <v>414.94089164279575</v>
      </c>
      <c r="H148" s="30">
        <f>'3-Statement Model'!M235</f>
        <v>438.18770380714238</v>
      </c>
      <c r="I148" s="30">
        <f>'3-Statement Model'!N235</f>
        <v>426.73182647489728</v>
      </c>
      <c r="J148" s="30">
        <f>'3-Statement Model'!O235</f>
        <v>447.9477976065412</v>
      </c>
      <c r="K148" s="30">
        <f>'3-Statement Model'!P235</f>
        <v>417.11740239770972</v>
      </c>
      <c r="L148" s="30">
        <f>'3-Statement Model'!Q235</f>
        <v>380.69213490545229</v>
      </c>
      <c r="M148" s="30">
        <f>'3-Statement Model'!R235</f>
        <v>339.0260025934752</v>
      </c>
      <c r="N148" s="30">
        <f>'3-Statement Model'!S235</f>
        <v>292.60158194766382</v>
      </c>
    </row>
    <row r="149" spans="2:14">
      <c r="B149" s="28" t="s">
        <v>104</v>
      </c>
      <c r="E149" s="30">
        <f>'3-Statement Model'!J236</f>
        <v>125.00218286292552</v>
      </c>
      <c r="F149" s="30">
        <f>'3-Statement Model'!K236</f>
        <v>131.58935886096666</v>
      </c>
      <c r="G149" s="30">
        <f>'3-Statement Model'!L236</f>
        <v>140.3706548204442</v>
      </c>
      <c r="H149" s="30">
        <f>'3-Statement Model'!M236</f>
        <v>148.93111709154968</v>
      </c>
      <c r="I149" s="30">
        <f>'3-Statement Model'!N236</f>
        <v>149.91649118854033</v>
      </c>
      <c r="J149" s="30">
        <f>'3-Statement Model'!O236</f>
        <v>149.7865014388255</v>
      </c>
      <c r="K149" s="30">
        <f>'3-Statement Model'!P236</f>
        <v>148.50371620836074</v>
      </c>
      <c r="L149" s="30">
        <f>'3-Statement Model'!Q236</f>
        <v>146.05225392233825</v>
      </c>
      <c r="M149" s="30">
        <f>'3-Statement Model'!R236</f>
        <v>142.43911712086722</v>
      </c>
      <c r="N149" s="30">
        <f>'3-Statement Model'!S236</f>
        <v>137.69486209301826</v>
      </c>
    </row>
    <row r="150" spans="2:14">
      <c r="B150" s="28" t="s">
        <v>110</v>
      </c>
      <c r="E150" s="30">
        <f>'3-Statement Model'!J237</f>
        <v>25.047569614085607</v>
      </c>
      <c r="F150" s="30">
        <f>'3-Statement Model'!K237</f>
        <v>26.36748855943792</v>
      </c>
      <c r="G150" s="30">
        <f>'3-Statement Model'!L237</f>
        <v>28.127058807007874</v>
      </c>
      <c r="H150" s="30">
        <f>'3-Statement Model'!M237</f>
        <v>29.842379049850308</v>
      </c>
      <c r="I150" s="30">
        <f>'3-Statement Model'!N237</f>
        <v>31.487402876689796</v>
      </c>
      <c r="J150" s="30">
        <f>'3-Statement Model'!O237</f>
        <v>33.052872778385989</v>
      </c>
      <c r="K150" s="30">
        <f>'3-Statement Model'!P237</f>
        <v>34.517360946261853</v>
      </c>
      <c r="L150" s="30">
        <f>'3-Statement Model'!Q237</f>
        <v>35.859902397617724</v>
      </c>
      <c r="M150" s="30">
        <f>'3-Statement Model'!R237</f>
        <v>37.060480218854984</v>
      </c>
      <c r="N150" s="30">
        <f>'3-Statement Model'!S237</f>
        <v>38.100511794977585</v>
      </c>
    </row>
    <row r="151" spans="2:14">
      <c r="B151" s="170" t="s">
        <v>111</v>
      </c>
      <c r="C151" s="167"/>
      <c r="D151" s="167"/>
      <c r="E151" s="168">
        <f>'3-Statement Model'!J238</f>
        <v>523.25598429245508</v>
      </c>
      <c r="F151" s="168">
        <f>'3-Statement Model'!K238</f>
        <v>549.05123039759417</v>
      </c>
      <c r="G151" s="168">
        <f>'3-Statement Model'!L238</f>
        <v>583.43860527024776</v>
      </c>
      <c r="H151" s="168">
        <f>'3-Statement Model'!M238</f>
        <v>616.96119994854234</v>
      </c>
      <c r="I151" s="168">
        <f>'3-Statement Model'!N238</f>
        <v>608.13572054012741</v>
      </c>
      <c r="J151" s="168">
        <f>'3-Statement Model'!O238</f>
        <v>630.78717182375271</v>
      </c>
      <c r="K151" s="168">
        <f>'3-Statement Model'!P238</f>
        <v>600.13847955233234</v>
      </c>
      <c r="L151" s="168">
        <f>'3-Statement Model'!Q238</f>
        <v>562.60429122540825</v>
      </c>
      <c r="M151" s="168">
        <f>'3-Statement Model'!R238</f>
        <v>518.52559993319744</v>
      </c>
      <c r="N151" s="168">
        <f>'3-Statement Model'!S238</f>
        <v>468.3969558356597</v>
      </c>
    </row>
    <row r="152" spans="2:14">
      <c r="B152" s="74" t="s">
        <v>112</v>
      </c>
      <c r="E152" s="20">
        <f>'3-Statement Model'!J239</f>
        <v>4.6243603909761732E-2</v>
      </c>
      <c r="F152" s="20">
        <f>'3-Statement Model'!K239</f>
        <v>4.6094293618655399E-2</v>
      </c>
      <c r="G152" s="20">
        <f>'3-Statement Model'!L239</f>
        <v>4.5917041938423844E-2</v>
      </c>
      <c r="H152" s="20">
        <f>'3-Statement Model'!M239</f>
        <v>4.5764368218454421E-2</v>
      </c>
      <c r="I152" s="20">
        <f>'3-Statement Model'!N239</f>
        <v>4.2753013682885067E-2</v>
      </c>
      <c r="J152" s="20">
        <f>'3-Statement Model'!O239</f>
        <v>4.2245134937206011E-2</v>
      </c>
      <c r="K152" s="20">
        <f>'3-Statement Model'!P239</f>
        <v>3.8487256191526945E-2</v>
      </c>
      <c r="L152" s="20">
        <f>'3-Statement Model'!Q239</f>
        <v>3.4729377445847878E-2</v>
      </c>
      <c r="M152" s="20">
        <f>'3-Statement Model'!R239</f>
        <v>3.0971498700168822E-2</v>
      </c>
      <c r="N152" s="20">
        <f>'3-Statement Model'!S239</f>
        <v>2.7213619954489763E-2</v>
      </c>
    </row>
    <row r="154" spans="2:14">
      <c r="B154" s="132" t="s">
        <v>113</v>
      </c>
    </row>
    <row r="155" spans="2:14">
      <c r="B155" s="28" t="s">
        <v>103</v>
      </c>
      <c r="E155" s="30">
        <f>'3-Statement Model'!J242</f>
        <v>231.86211217274541</v>
      </c>
      <c r="F155" s="30">
        <f>'3-Statement Model'!K242</f>
        <v>231.86211217274541</v>
      </c>
      <c r="G155" s="30">
        <f>'3-Statement Model'!L242</f>
        <v>231.86211217274541</v>
      </c>
      <c r="H155" s="30">
        <f>'3-Statement Model'!M242</f>
        <v>231.86211217274541</v>
      </c>
      <c r="I155" s="30">
        <f>'3-Statement Model'!N242</f>
        <v>231.86211217274541</v>
      </c>
      <c r="J155" s="30">
        <f>'3-Statement Model'!O242</f>
        <v>231.86211217274541</v>
      </c>
      <c r="K155" s="30">
        <f>'3-Statement Model'!P242</f>
        <v>231.86211217274541</v>
      </c>
      <c r="L155" s="30">
        <f>'3-Statement Model'!Q242</f>
        <v>231.86211217274541</v>
      </c>
      <c r="M155" s="30">
        <f>'3-Statement Model'!R242</f>
        <v>189.90310261803688</v>
      </c>
      <c r="N155" s="30">
        <f>'3-Statement Model'!S242</f>
        <v>0</v>
      </c>
    </row>
    <row r="156" spans="2:14">
      <c r="B156" s="28" t="s">
        <v>104</v>
      </c>
      <c r="E156" s="30">
        <f>'3-Statement Model'!J243</f>
        <v>111.8939796592511</v>
      </c>
      <c r="F156" s="30">
        <f>'3-Statement Model'!K243</f>
        <v>111.8939796592511</v>
      </c>
      <c r="G156" s="30">
        <f>'3-Statement Model'!L243</f>
        <v>111.8939796592511</v>
      </c>
      <c r="H156" s="30">
        <f>'3-Statement Model'!M243</f>
        <v>78.018061022246684</v>
      </c>
      <c r="I156" s="30">
        <f>'3-Statement Model'!N243</f>
        <v>0</v>
      </c>
      <c r="J156" s="30">
        <f>'3-Statement Model'!O243</f>
        <v>0</v>
      </c>
      <c r="K156" s="30">
        <f>'3-Statement Model'!P243</f>
        <v>0</v>
      </c>
      <c r="L156" s="30">
        <f>'3-Statement Model'!Q243</f>
        <v>0</v>
      </c>
      <c r="M156" s="30">
        <f>'3-Statement Model'!R243</f>
        <v>0</v>
      </c>
      <c r="N156" s="30">
        <f>'3-Statement Model'!S243</f>
        <v>0</v>
      </c>
    </row>
    <row r="157" spans="2:14">
      <c r="B157" s="28" t="s">
        <v>110</v>
      </c>
      <c r="E157" s="30">
        <f>'3-Statement Model'!J244</f>
        <v>213.62130157108427</v>
      </c>
      <c r="F157" s="30">
        <f>'3-Statement Model'!K244</f>
        <v>213.62130157108427</v>
      </c>
      <c r="G157" s="30">
        <f>'3-Statement Model'!L244</f>
        <v>213.62130157108427</v>
      </c>
      <c r="H157" s="30">
        <f>'3-Statement Model'!M244</f>
        <v>213.62130157108427</v>
      </c>
      <c r="I157" s="30">
        <f>'3-Statement Model'!N244</f>
        <v>213.62130157108427</v>
      </c>
      <c r="J157" s="30">
        <f>'3-Statement Model'!O244</f>
        <v>213.62130157108427</v>
      </c>
      <c r="K157" s="30">
        <f>'3-Statement Model'!P244</f>
        <v>213.62130157108427</v>
      </c>
      <c r="L157" s="30">
        <f>'3-Statement Model'!Q244</f>
        <v>213.62130157108427</v>
      </c>
      <c r="M157" s="30">
        <f>'3-Statement Model'!R244</f>
        <v>213.62130157108427</v>
      </c>
      <c r="N157" s="30">
        <f>'3-Statement Model'!S244</f>
        <v>124.10828586024195</v>
      </c>
    </row>
    <row r="158" spans="2:14">
      <c r="B158" s="170" t="s">
        <v>111</v>
      </c>
      <c r="C158" s="167"/>
      <c r="D158" s="167"/>
      <c r="E158" s="168">
        <f>'3-Statement Model'!J245</f>
        <v>557.37739340308076</v>
      </c>
      <c r="F158" s="168">
        <f>'3-Statement Model'!K245</f>
        <v>557.37739340308076</v>
      </c>
      <c r="G158" s="168">
        <f>'3-Statement Model'!L245</f>
        <v>557.37739340308076</v>
      </c>
      <c r="H158" s="168">
        <f>'3-Statement Model'!M245</f>
        <v>523.5014747660764</v>
      </c>
      <c r="I158" s="168">
        <f>'3-Statement Model'!N245</f>
        <v>445.48341374382971</v>
      </c>
      <c r="J158" s="168">
        <f>'3-Statement Model'!O245</f>
        <v>445.48341374382971</v>
      </c>
      <c r="K158" s="168">
        <f>'3-Statement Model'!P245</f>
        <v>445.48341374382971</v>
      </c>
      <c r="L158" s="168">
        <f>'3-Statement Model'!Q245</f>
        <v>445.48341374382971</v>
      </c>
      <c r="M158" s="168">
        <f>'3-Statement Model'!R245</f>
        <v>403.52440418912113</v>
      </c>
      <c r="N158" s="168">
        <f>'3-Statement Model'!S245</f>
        <v>124.10828586024195</v>
      </c>
    </row>
    <row r="160" spans="2:14">
      <c r="B160" s="132" t="s">
        <v>376</v>
      </c>
    </row>
    <row r="161" spans="2:14">
      <c r="B161" s="28" t="s">
        <v>377</v>
      </c>
      <c r="E161" s="116">
        <f>'3-Statement Model'!J288</f>
        <v>41.163225253365489</v>
      </c>
      <c r="F161" s="116">
        <f>'3-Statement Model'!K288</f>
        <v>41.163225253365489</v>
      </c>
      <c r="G161" s="116">
        <f>'3-Statement Model'!L288</f>
        <v>41.163225253365489</v>
      </c>
      <c r="H161" s="116">
        <f>'3-Statement Model'!M288</f>
        <v>41.163225253365489</v>
      </c>
      <c r="I161" s="116">
        <f>'3-Statement Model'!N288</f>
        <v>41.163225253365489</v>
      </c>
      <c r="J161" s="116">
        <f>'3-Statement Model'!O288</f>
        <v>41.01056708786129</v>
      </c>
      <c r="K161" s="116">
        <f>'3-Statement Model'!P288</f>
        <v>20.30408508196054</v>
      </c>
      <c r="L161" s="116">
        <f>'3-Statement Model'!Q288</f>
        <v>20.30408508196054</v>
      </c>
      <c r="M161" s="116">
        <f>'3-Statement Model'!R288</f>
        <v>20.30408508196054</v>
      </c>
      <c r="N161" s="116">
        <f>'3-Statement Model'!S288</f>
        <v>20.30408508196054</v>
      </c>
    </row>
    <row r="162" spans="2:14">
      <c r="B162" s="28" t="s">
        <v>378</v>
      </c>
      <c r="E162" s="116"/>
      <c r="F162" s="116">
        <f>'3-Statement Model'!K289</f>
        <v>42.144408345863781</v>
      </c>
      <c r="G162" s="116">
        <f>'3-Statement Model'!L289</f>
        <v>42.144408345863781</v>
      </c>
      <c r="H162" s="116">
        <f>'3-Statement Model'!M289</f>
        <v>42.144408345863781</v>
      </c>
      <c r="I162" s="116">
        <f>'3-Statement Model'!N289</f>
        <v>42.144408345863781</v>
      </c>
      <c r="J162" s="116">
        <f>'3-Statement Model'!O289</f>
        <v>42.144408345863781</v>
      </c>
      <c r="K162" s="116">
        <f>'3-Statement Model'!P289</f>
        <v>41.991750180359581</v>
      </c>
      <c r="L162" s="116">
        <f>'3-Statement Model'!Q289</f>
        <v>21.285268174458828</v>
      </c>
      <c r="M162" s="116">
        <f>'3-Statement Model'!R289</f>
        <v>21.285268174458828</v>
      </c>
      <c r="N162" s="116">
        <f>'3-Statement Model'!S289</f>
        <v>21.285268174458828</v>
      </c>
    </row>
    <row r="163" spans="2:14">
      <c r="B163" s="28" t="s">
        <v>379</v>
      </c>
      <c r="E163" s="116"/>
      <c r="F163" s="116"/>
      <c r="G163" s="116">
        <f>'3-Statement Model'!L290</f>
        <v>43.452413343487216</v>
      </c>
      <c r="H163" s="116">
        <f>'3-Statement Model'!M290</f>
        <v>43.452413343487216</v>
      </c>
      <c r="I163" s="116">
        <f>'3-Statement Model'!N290</f>
        <v>43.452413343487216</v>
      </c>
      <c r="J163" s="116">
        <f>'3-Statement Model'!O290</f>
        <v>43.452413343487216</v>
      </c>
      <c r="K163" s="116">
        <f>'3-Statement Model'!P290</f>
        <v>43.452413343487216</v>
      </c>
      <c r="L163" s="116">
        <f>'3-Statement Model'!Q290</f>
        <v>43.299755177983016</v>
      </c>
      <c r="M163" s="116">
        <f>'3-Statement Model'!R290</f>
        <v>22.593273172082263</v>
      </c>
      <c r="N163" s="116">
        <f>'3-Statement Model'!S290</f>
        <v>22.593273172082263</v>
      </c>
    </row>
    <row r="164" spans="2:14">
      <c r="B164" s="28" t="s">
        <v>380</v>
      </c>
      <c r="E164" s="116"/>
      <c r="F164" s="116"/>
      <c r="G164" s="116"/>
      <c r="H164" s="116">
        <f>'3-Statement Model'!M291</f>
        <v>44.727524384527555</v>
      </c>
      <c r="I164" s="116">
        <f>'3-Statement Model'!N291</f>
        <v>44.727524384527555</v>
      </c>
      <c r="J164" s="116">
        <f>'3-Statement Model'!O291</f>
        <v>44.727524384527555</v>
      </c>
      <c r="K164" s="116">
        <f>'3-Statement Model'!P291</f>
        <v>44.727524384527555</v>
      </c>
      <c r="L164" s="116">
        <f>'3-Statement Model'!Q291</f>
        <v>44.727524384527555</v>
      </c>
      <c r="M164" s="116">
        <f>'3-Statement Model'!R291</f>
        <v>44.574866219023356</v>
      </c>
      <c r="N164" s="116">
        <f>'3-Statement Model'!S291</f>
        <v>23.868384213122603</v>
      </c>
    </row>
    <row r="165" spans="2:14">
      <c r="B165" s="28" t="s">
        <v>381</v>
      </c>
      <c r="E165" s="116"/>
      <c r="F165" s="116"/>
      <c r="G165" s="116"/>
      <c r="H165" s="116"/>
      <c r="I165" s="116">
        <f>'3-Statement Model'!N292</f>
        <v>44.265810284048577</v>
      </c>
      <c r="J165" s="116">
        <f>'3-Statement Model'!O292</f>
        <v>44.265810284048577</v>
      </c>
      <c r="K165" s="116">
        <f>'3-Statement Model'!P292</f>
        <v>44.265810284048577</v>
      </c>
      <c r="L165" s="116">
        <f>'3-Statement Model'!Q292</f>
        <v>44.265810284048577</v>
      </c>
      <c r="M165" s="116">
        <f>'3-Statement Model'!R292</f>
        <v>44.265810284048577</v>
      </c>
      <c r="N165" s="116">
        <f>'3-Statement Model'!S292</f>
        <v>44.113152118544377</v>
      </c>
    </row>
    <row r="166" spans="2:14">
      <c r="B166" s="28" t="s">
        <v>382</v>
      </c>
      <c r="E166" s="116"/>
      <c r="F166" s="116"/>
      <c r="G166" s="116"/>
      <c r="H166" s="116"/>
      <c r="I166" s="116"/>
      <c r="J166" s="116">
        <f>'3-Statement Model'!O293</f>
        <v>45.429527650761024</v>
      </c>
      <c r="K166" s="116">
        <f>'3-Statement Model'!P293</f>
        <v>45.429527650761024</v>
      </c>
      <c r="L166" s="116">
        <f>'3-Statement Model'!Q293</f>
        <v>45.429527650761024</v>
      </c>
      <c r="M166" s="116">
        <f>'3-Statement Model'!R293</f>
        <v>45.429527650761024</v>
      </c>
      <c r="N166" s="116">
        <f>'3-Statement Model'!S293</f>
        <v>45.429527650761024</v>
      </c>
    </row>
    <row r="167" spans="2:14">
      <c r="B167" s="28" t="s">
        <v>383</v>
      </c>
      <c r="E167" s="116"/>
      <c r="F167" s="116"/>
      <c r="G167" s="116"/>
      <c r="H167" s="116"/>
      <c r="I167" s="116"/>
      <c r="J167" s="116"/>
      <c r="K167" s="116">
        <f>'3-Statement Model'!P294</f>
        <v>43.988688691007432</v>
      </c>
      <c r="L167" s="116">
        <f>'3-Statement Model'!Q294</f>
        <v>43.988688691007432</v>
      </c>
      <c r="M167" s="116">
        <f>'3-Statement Model'!R294</f>
        <v>43.988688691007432</v>
      </c>
      <c r="N167" s="116">
        <f>'3-Statement Model'!S294</f>
        <v>43.988688691007432</v>
      </c>
    </row>
    <row r="168" spans="2:14">
      <c r="B168" s="28" t="s">
        <v>384</v>
      </c>
      <c r="E168" s="116"/>
      <c r="F168" s="116"/>
      <c r="G168" s="116"/>
      <c r="H168" s="116"/>
      <c r="I168" s="116"/>
      <c r="J168" s="116"/>
      <c r="K168" s="116"/>
      <c r="L168" s="116">
        <f>'3-Statement Model'!Q295</f>
        <v>42.260431303071513</v>
      </c>
      <c r="M168" s="116">
        <f>'3-Statement Model'!R295</f>
        <v>42.260431303071513</v>
      </c>
      <c r="N168" s="116">
        <f>'3-Statement Model'!S295</f>
        <v>42.260431303071513</v>
      </c>
    </row>
    <row r="169" spans="2:14">
      <c r="B169" s="28" t="s">
        <v>385</v>
      </c>
      <c r="E169" s="116"/>
      <c r="F169" s="116"/>
      <c r="G169" s="116"/>
      <c r="H169" s="116"/>
      <c r="I169" s="116"/>
      <c r="J169" s="116"/>
      <c r="K169" s="116"/>
      <c r="L169" s="116"/>
      <c r="M169" s="116">
        <f>'3-Statement Model'!R296</f>
        <v>40.261085587051419</v>
      </c>
      <c r="N169" s="116">
        <f>'3-Statement Model'!S296</f>
        <v>40.261085587051419</v>
      </c>
    </row>
    <row r="170" spans="2:14">
      <c r="B170" s="28" t="s">
        <v>386</v>
      </c>
      <c r="E170" s="116"/>
      <c r="F170" s="116"/>
      <c r="G170" s="116"/>
      <c r="H170" s="116"/>
      <c r="I170" s="116"/>
      <c r="J170" s="116"/>
      <c r="K170" s="116"/>
      <c r="L170" s="116"/>
      <c r="M170" s="116"/>
      <c r="N170" s="116">
        <f>'3-Statement Model'!S297</f>
        <v>38.013494912490479</v>
      </c>
    </row>
    <row r="171" spans="2:14">
      <c r="B171" s="170" t="s">
        <v>387</v>
      </c>
      <c r="C171" s="161"/>
      <c r="D171" s="161"/>
      <c r="E171" s="167">
        <f>'3-Statement Model'!J298</f>
        <v>41.163225253365489</v>
      </c>
      <c r="F171" s="167">
        <f>'3-Statement Model'!K298</f>
        <v>83.307633599229263</v>
      </c>
      <c r="G171" s="167">
        <f>'3-Statement Model'!L298</f>
        <v>126.76004694271649</v>
      </c>
      <c r="H171" s="167">
        <f>'3-Statement Model'!M298</f>
        <v>171.48757132724404</v>
      </c>
      <c r="I171" s="167">
        <f>'3-Statement Model'!N298</f>
        <v>215.75338161129261</v>
      </c>
      <c r="J171" s="167">
        <f>'3-Statement Model'!O298</f>
        <v>261.03025109654942</v>
      </c>
      <c r="K171" s="167">
        <f>'3-Statement Model'!P298</f>
        <v>284.15979961615193</v>
      </c>
      <c r="L171" s="167">
        <f>'3-Statement Model'!Q298</f>
        <v>305.56109074781847</v>
      </c>
      <c r="M171" s="167">
        <f>'3-Statement Model'!R298</f>
        <v>324.96303616346495</v>
      </c>
      <c r="N171" s="167">
        <f>'3-Statement Model'!S298</f>
        <v>342.11739090455052</v>
      </c>
    </row>
    <row r="172" spans="2:14">
      <c r="B172" s="132"/>
    </row>
    <row r="173" spans="2:14">
      <c r="B173" s="167" t="s">
        <v>158</v>
      </c>
      <c r="C173" s="168"/>
      <c r="D173" s="168"/>
      <c r="E173" s="168">
        <f>'3-Statement Model'!J306</f>
        <v>598.54061865644621</v>
      </c>
      <c r="F173" s="168">
        <f>'3-Statement Model'!K306</f>
        <v>640.68502700231011</v>
      </c>
      <c r="G173" s="168">
        <f>'3-Statement Model'!L306</f>
        <v>684.13744034579736</v>
      </c>
      <c r="H173" s="168">
        <f>'3-Statement Model'!M306</f>
        <v>694.98904609332044</v>
      </c>
      <c r="I173" s="168">
        <f>'3-Statement Model'!N306</f>
        <v>661.23679535512224</v>
      </c>
      <c r="J173" s="168">
        <f>'3-Statement Model'!O306</f>
        <v>706.51366484037908</v>
      </c>
      <c r="K173" s="168">
        <f>'3-Statement Model'!P306</f>
        <v>729.64321335998159</v>
      </c>
      <c r="L173" s="168">
        <f>'3-Statement Model'!Q306</f>
        <v>751.04450449164824</v>
      </c>
      <c r="M173" s="168">
        <f>'3-Statement Model'!R306</f>
        <v>728.48744035258608</v>
      </c>
      <c r="N173" s="168">
        <f>'3-Statement Model'!S306</f>
        <v>466.22567676479241</v>
      </c>
    </row>
    <row r="174" spans="2:14">
      <c r="B174" s="7" t="s">
        <v>112</v>
      </c>
      <c r="E174" s="94">
        <f>'3-Statement Model'!J307</f>
        <v>5.2897006673472552E-2</v>
      </c>
      <c r="F174" s="94">
        <f>'3-Statement Model'!K307</f>
        <v>5.3787191643911207E-2</v>
      </c>
      <c r="G174" s="94">
        <f>'3-Statement Model'!L307</f>
        <v>5.3842113388182823E-2</v>
      </c>
      <c r="H174" s="94">
        <f>'3-Statement Model'!M307</f>
        <v>5.1552244478031785E-2</v>
      </c>
      <c r="I174" s="94">
        <f>'3-Statement Model'!N307</f>
        <v>4.6486112893247236E-2</v>
      </c>
      <c r="J174" s="94">
        <f>'3-Statement Model'!O307</f>
        <v>4.7316696406282013E-2</v>
      </c>
      <c r="K174" s="94">
        <f>'3-Statement Model'!P307</f>
        <v>4.6792475799822146E-2</v>
      </c>
      <c r="L174" s="94">
        <f>'3-Statement Model'!Q307</f>
        <v>4.6361729695143628E-2</v>
      </c>
      <c r="M174" s="94">
        <f>'3-Statement Model'!R307</f>
        <v>4.3512505100762967E-2</v>
      </c>
      <c r="N174" s="94">
        <f>'3-Statement Model'!S307</f>
        <v>2.7087469767744204E-2</v>
      </c>
    </row>
    <row r="176" spans="2:14">
      <c r="B176" s="3" t="s">
        <v>160</v>
      </c>
    </row>
    <row r="178" spans="2:14">
      <c r="B178" s="180" t="s">
        <v>352</v>
      </c>
      <c r="C178" s="181"/>
      <c r="D178" s="181"/>
      <c r="E178" s="182">
        <f>2025</f>
        <v>2025</v>
      </c>
      <c r="F178" s="182">
        <f t="shared" ref="F178:N178" si="12">E178+1</f>
        <v>2026</v>
      </c>
      <c r="G178" s="182">
        <f t="shared" si="12"/>
        <v>2027</v>
      </c>
      <c r="H178" s="182">
        <f t="shared" si="12"/>
        <v>2028</v>
      </c>
      <c r="I178" s="182">
        <f t="shared" si="12"/>
        <v>2029</v>
      </c>
      <c r="J178" s="182">
        <f t="shared" si="12"/>
        <v>2030</v>
      </c>
      <c r="K178" s="182">
        <f t="shared" si="12"/>
        <v>2031</v>
      </c>
      <c r="L178" s="182">
        <f t="shared" si="12"/>
        <v>2032</v>
      </c>
      <c r="M178" s="182">
        <f t="shared" si="12"/>
        <v>2033</v>
      </c>
      <c r="N178" s="182">
        <f t="shared" si="12"/>
        <v>2034</v>
      </c>
    </row>
    <row r="179" spans="2:14">
      <c r="B179" s="161" t="s">
        <v>43</v>
      </c>
      <c r="C179" s="161"/>
      <c r="D179" s="161"/>
      <c r="E179" s="169">
        <f>'3-Statement Model'!J311</f>
        <v>2139.0392689740306</v>
      </c>
      <c r="F179" s="169">
        <f>'3-Statement Model'!K311</f>
        <v>2186.4907451572335</v>
      </c>
      <c r="G179" s="169">
        <f>'3-Statement Model'!L311</f>
        <v>2259.8619536400356</v>
      </c>
      <c r="H179" s="169">
        <f>'3-Statement Model'!M311</f>
        <v>2397.6789568932304</v>
      </c>
      <c r="I179" s="169">
        <f>'3-Statement Model'!N311</f>
        <v>2529.8480110632195</v>
      </c>
      <c r="J179" s="169">
        <f>'3-Statement Model'!O311</f>
        <v>2655.6253237458518</v>
      </c>
      <c r="K179" s="169">
        <f>'3-Statement Model'!P311</f>
        <v>2773.289282670491</v>
      </c>
      <c r="L179" s="169">
        <f>'3-Statement Model'!Q311</f>
        <v>2881.1554612112736</v>
      </c>
      <c r="M179" s="169">
        <f>'3-Statement Model'!R311</f>
        <v>2977.6156051322641</v>
      </c>
      <c r="N179" s="169">
        <f>'3-Statement Model'!S311</f>
        <v>3061.1766985828936</v>
      </c>
    </row>
    <row r="180" spans="2:14">
      <c r="B180" s="7" t="s">
        <v>161</v>
      </c>
      <c r="E180" s="152">
        <f>'3-Statement Model'!J312</f>
        <v>69</v>
      </c>
      <c r="F180" s="152">
        <f>'3-Statement Model'!K312</f>
        <v>67</v>
      </c>
      <c r="G180" s="152">
        <f>'3-Statement Model'!L312</f>
        <v>64.916263569977303</v>
      </c>
      <c r="H180" s="152">
        <f>'3-Statement Model'!M312</f>
        <v>64.916263569977303</v>
      </c>
      <c r="I180" s="152">
        <f>'3-Statement Model'!N312</f>
        <v>64.916263569977303</v>
      </c>
      <c r="J180" s="152">
        <f>'3-Statement Model'!O312</f>
        <v>64.916263569977303</v>
      </c>
      <c r="K180" s="152">
        <f>'3-Statement Model'!P312</f>
        <v>64.916263569977303</v>
      </c>
      <c r="L180" s="152">
        <f>'3-Statement Model'!Q312</f>
        <v>64.916263569977303</v>
      </c>
      <c r="M180" s="152">
        <f>'3-Statement Model'!R312</f>
        <v>64.916263569977303</v>
      </c>
      <c r="N180" s="152">
        <f>'3-Statement Model'!S312</f>
        <v>64.916263569977303</v>
      </c>
    </row>
    <row r="181" spans="2:14">
      <c r="B181" s="161" t="s">
        <v>44</v>
      </c>
      <c r="C181" s="161"/>
      <c r="D181" s="161"/>
      <c r="E181" s="169">
        <f>'3-Statement Model'!J314</f>
        <v>1395.0256102004548</v>
      </c>
      <c r="F181" s="169">
        <f>'3-Statement Model'!K314</f>
        <v>1395.1116321712202</v>
      </c>
      <c r="G181" s="169">
        <f>'3-Statement Model'!L314</f>
        <v>1384.5803327946699</v>
      </c>
      <c r="H181" s="169">
        <f>'3-Statement Model'!M314</f>
        <v>1469.0185489970863</v>
      </c>
      <c r="I181" s="169">
        <f>'3-Statement Model'!N314</f>
        <v>1549.9963594837307</v>
      </c>
      <c r="J181" s="169">
        <f>'3-Statement Model'!O314</f>
        <v>1627.0580548548267</v>
      </c>
      <c r="K181" s="169">
        <f>'3-Statement Model'!P314</f>
        <v>1699.1488315252345</v>
      </c>
      <c r="L181" s="169">
        <f>'3-Statement Model'!Q314</f>
        <v>1765.2366689441194</v>
      </c>
      <c r="M181" s="169">
        <f>'3-Statement Model'!R314</f>
        <v>1824.336216133903</v>
      </c>
      <c r="N181" s="169">
        <f>'3-Statement Model'!S314</f>
        <v>1875.532726784566</v>
      </c>
    </row>
    <row r="182" spans="2:14">
      <c r="B182" s="7" t="s">
        <v>162</v>
      </c>
      <c r="E182" s="152">
        <f>'3-Statement Model'!J315</f>
        <v>100</v>
      </c>
      <c r="F182" s="152">
        <f>'3-Statement Model'!K315</f>
        <v>95</v>
      </c>
      <c r="G182" s="152">
        <f>'3-Statement Model'!L315</f>
        <v>88.384731910755363</v>
      </c>
      <c r="H182" s="152">
        <f>'3-Statement Model'!M315</f>
        <v>88.384731910755363</v>
      </c>
      <c r="I182" s="152">
        <f>'3-Statement Model'!N315</f>
        <v>88.384731910755363</v>
      </c>
      <c r="J182" s="152">
        <f>'3-Statement Model'!O315</f>
        <v>88.384731910755363</v>
      </c>
      <c r="K182" s="152">
        <f>'3-Statement Model'!P315</f>
        <v>88.384731910755363</v>
      </c>
      <c r="L182" s="152">
        <f>'3-Statement Model'!Q315</f>
        <v>88.384731910755363</v>
      </c>
      <c r="M182" s="152">
        <f>'3-Statement Model'!R315</f>
        <v>88.384731910755363</v>
      </c>
      <c r="N182" s="152">
        <f>'3-Statement Model'!S315</f>
        <v>88.384731910755363</v>
      </c>
    </row>
    <row r="183" spans="2:14">
      <c r="B183" s="161" t="s">
        <v>45</v>
      </c>
      <c r="C183" s="161"/>
      <c r="D183" s="161"/>
      <c r="E183" s="169">
        <f>'3-Statement Model'!J317</f>
        <v>248.80163210679893</v>
      </c>
      <c r="F183" s="169">
        <f>'3-Statement Model'!K317</f>
        <v>261.91260426545756</v>
      </c>
      <c r="G183" s="169">
        <f>'3-Statement Model'!L317</f>
        <v>279.39070518091637</v>
      </c>
      <c r="H183" s="169">
        <f>'3-Statement Model'!M317</f>
        <v>296.42926351533578</v>
      </c>
      <c r="I183" s="169">
        <f>'3-Statement Model'!N317</f>
        <v>312.76955597796558</v>
      </c>
      <c r="J183" s="169">
        <f>'3-Statement Model'!O317</f>
        <v>328.31962620661761</v>
      </c>
      <c r="K183" s="169">
        <f>'3-Statement Model'!P317</f>
        <v>342.86662825042902</v>
      </c>
      <c r="L183" s="169">
        <f>'3-Statement Model'!Q317</f>
        <v>356.20231348515654</v>
      </c>
      <c r="M183" s="169">
        <f>'3-Statement Model'!R317</f>
        <v>368.12785061300133</v>
      </c>
      <c r="N183" s="169">
        <f>'3-Statement Model'!S317</f>
        <v>378.45865546028654</v>
      </c>
    </row>
    <row r="184" spans="2:14">
      <c r="B184" s="7" t="s">
        <v>112</v>
      </c>
      <c r="E184" s="112">
        <f>'3-Statement Model'!J318</f>
        <v>2.1988251396315599E-2</v>
      </c>
      <c r="F184" s="112">
        <f>'3-Statement Model'!K318</f>
        <v>2.1988251396315599E-2</v>
      </c>
      <c r="G184" s="112">
        <f>'3-Statement Model'!L318</f>
        <v>2.1988251396315599E-2</v>
      </c>
      <c r="H184" s="112">
        <f>'3-Statement Model'!M318</f>
        <v>2.1988251396315599E-2</v>
      </c>
      <c r="I184" s="112">
        <f>'3-Statement Model'!N318</f>
        <v>2.1988251396315599E-2</v>
      </c>
      <c r="J184" s="112">
        <f>'3-Statement Model'!O318</f>
        <v>2.1988251396315599E-2</v>
      </c>
      <c r="K184" s="112">
        <f>'3-Statement Model'!P318</f>
        <v>2.1988251396315599E-2</v>
      </c>
      <c r="L184" s="112">
        <f>'3-Statement Model'!Q318</f>
        <v>2.1988251396315599E-2</v>
      </c>
      <c r="M184" s="112">
        <f>'3-Statement Model'!R318</f>
        <v>2.1988251396315599E-2</v>
      </c>
      <c r="N184" s="112">
        <f>'3-Statement Model'!S318</f>
        <v>2.1988251396315599E-2</v>
      </c>
    </row>
    <row r="185" spans="2:14">
      <c r="B185" s="161" t="s">
        <v>163</v>
      </c>
      <c r="C185" s="161"/>
      <c r="D185" s="161"/>
      <c r="E185" s="169">
        <f>'3-Statement Model'!J320</f>
        <v>1116.020488160364</v>
      </c>
      <c r="F185" s="30">
        <f>'3-Statement Model'!K320</f>
        <v>1163.0850938339033</v>
      </c>
      <c r="G185" s="30">
        <f>'3-Statement Model'!L320</f>
        <v>1240.7007500193199</v>
      </c>
      <c r="H185" s="30">
        <f>'3-Statement Model'!M320</f>
        <v>1316.3645130320276</v>
      </c>
      <c r="I185" s="30">
        <f>'3-Statement Model'!N320</f>
        <v>1388.9274606819572</v>
      </c>
      <c r="J185" s="30">
        <f>'3-Statement Model'!O320</f>
        <v>1457.981238913587</v>
      </c>
      <c r="K185" s="30">
        <f>'3-Statement Model'!P320</f>
        <v>1522.5806547552927</v>
      </c>
      <c r="L185" s="30">
        <f>'3-Statement Model'!Q320</f>
        <v>1581.800930755649</v>
      </c>
      <c r="M185" s="30">
        <f>'3-Statement Model'!R320</f>
        <v>1634.7591093368558</v>
      </c>
      <c r="N185" s="30">
        <f>'3-Statement Model'!S320</f>
        <v>1680.6355006578563</v>
      </c>
    </row>
    <row r="186" spans="2:14">
      <c r="B186" s="7" t="s">
        <v>164</v>
      </c>
      <c r="E186" s="152">
        <f>'3-Statement Model'!J321</f>
        <v>80</v>
      </c>
      <c r="F186" s="152">
        <f>'3-Statement Model'!K321</f>
        <v>79.200173926053367</v>
      </c>
      <c r="G186" s="152">
        <f>'3-Statement Model'!L321</f>
        <v>79.200173926053367</v>
      </c>
      <c r="H186" s="152">
        <f>'3-Statement Model'!M321</f>
        <v>79.200173926053367</v>
      </c>
      <c r="I186" s="152">
        <f>'3-Statement Model'!N321</f>
        <v>79.200173926053367</v>
      </c>
      <c r="J186" s="152">
        <f>'3-Statement Model'!O321</f>
        <v>79.200173926053367</v>
      </c>
      <c r="K186" s="152">
        <f>'3-Statement Model'!P321</f>
        <v>79.200173926053367</v>
      </c>
      <c r="L186" s="152">
        <f>'3-Statement Model'!Q321</f>
        <v>79.200173926053367</v>
      </c>
      <c r="M186" s="152">
        <f>'3-Statement Model'!R321</f>
        <v>79.200173926053367</v>
      </c>
      <c r="N186" s="152">
        <f>'3-Statement Model'!S321</f>
        <v>79.200173926053367</v>
      </c>
    </row>
    <row r="187" spans="2:14">
      <c r="B187" s="161" t="s">
        <v>57</v>
      </c>
      <c r="C187" s="161"/>
      <c r="D187" s="161"/>
      <c r="E187" s="169">
        <f>'3-Statement Model'!J326</f>
        <v>43.4789629662761</v>
      </c>
      <c r="F187" s="169">
        <f>'3-Statement Model'!K326</f>
        <v>45.770151605639604</v>
      </c>
      <c r="G187" s="169">
        <f>'3-Statement Model'!L326</f>
        <v>48.824511402193785</v>
      </c>
      <c r="H187" s="169">
        <f>'3-Statement Model'!M326</f>
        <v>51.802059582034332</v>
      </c>
      <c r="I187" s="169">
        <f>'3-Statement Model'!N326</f>
        <v>54.657583337344072</v>
      </c>
      <c r="J187" s="169">
        <f>'3-Statement Model'!O326</f>
        <v>57.375012969414719</v>
      </c>
      <c r="K187" s="169">
        <f>'3-Statement Model'!P326</f>
        <v>59.917152897426611</v>
      </c>
      <c r="L187" s="169">
        <f>'3-Statement Model'!Q326</f>
        <v>62.247610939605941</v>
      </c>
      <c r="M187" s="169">
        <f>'3-Statement Model'!R326</f>
        <v>64.331640625198773</v>
      </c>
      <c r="N187" s="169">
        <f>'3-Statement Model'!S326</f>
        <v>66.136985218654374</v>
      </c>
    </row>
    <row r="188" spans="2:14">
      <c r="B188" s="7" t="s">
        <v>112</v>
      </c>
      <c r="E188" s="112">
        <f>'3-Statement Model'!J327</f>
        <v>3.842524504594878E-3</v>
      </c>
      <c r="F188" s="112">
        <f>'3-Statement Model'!K327</f>
        <v>3.842524504594878E-3</v>
      </c>
      <c r="G188" s="112">
        <f>'3-Statement Model'!L327</f>
        <v>3.842524504594878E-3</v>
      </c>
      <c r="H188" s="112">
        <f>'3-Statement Model'!M327</f>
        <v>3.842524504594878E-3</v>
      </c>
      <c r="I188" s="112">
        <f>'3-Statement Model'!N327</f>
        <v>3.842524504594878E-3</v>
      </c>
      <c r="J188" s="112">
        <f>'3-Statement Model'!O327</f>
        <v>3.842524504594878E-3</v>
      </c>
      <c r="K188" s="112">
        <f>'3-Statement Model'!P327</f>
        <v>3.842524504594878E-3</v>
      </c>
      <c r="L188" s="112">
        <f>'3-Statement Model'!Q327</f>
        <v>3.842524504594878E-3</v>
      </c>
      <c r="M188" s="112">
        <f>'3-Statement Model'!R327</f>
        <v>3.842524504594878E-3</v>
      </c>
      <c r="N188" s="112">
        <f>'3-Statement Model'!S327</f>
        <v>3.842524504594878E-3</v>
      </c>
    </row>
    <row r="189" spans="2:14">
      <c r="B189" s="161" t="s">
        <v>60</v>
      </c>
      <c r="C189" s="161"/>
      <c r="D189" s="161"/>
      <c r="E189" s="169">
        <f>'3-Statement Model'!J326</f>
        <v>43.4789629662761</v>
      </c>
      <c r="F189" s="169">
        <f>'3-Statement Model'!K326</f>
        <v>45.770151605639604</v>
      </c>
      <c r="G189" s="169">
        <f>'3-Statement Model'!L326</f>
        <v>48.824511402193785</v>
      </c>
      <c r="H189" s="169">
        <f>'3-Statement Model'!M326</f>
        <v>51.802059582034332</v>
      </c>
      <c r="I189" s="169">
        <f>'3-Statement Model'!N326</f>
        <v>54.657583337344072</v>
      </c>
      <c r="J189" s="169">
        <f>'3-Statement Model'!O326</f>
        <v>57.375012969414719</v>
      </c>
      <c r="K189" s="169">
        <f>'3-Statement Model'!P326</f>
        <v>59.917152897426611</v>
      </c>
      <c r="L189" s="169">
        <f>'3-Statement Model'!Q326</f>
        <v>62.247610939605941</v>
      </c>
      <c r="M189" s="169">
        <f>'3-Statement Model'!R326</f>
        <v>64.331640625198773</v>
      </c>
      <c r="N189" s="169">
        <f>'3-Statement Model'!S326</f>
        <v>66.136985218654374</v>
      </c>
    </row>
    <row r="190" spans="2:14">
      <c r="B190" s="7" t="s">
        <v>112</v>
      </c>
      <c r="E190" s="112">
        <f>'3-Statement Model'!J327</f>
        <v>3.842524504594878E-3</v>
      </c>
      <c r="F190" s="112">
        <f>'3-Statement Model'!K327</f>
        <v>3.842524504594878E-3</v>
      </c>
      <c r="G190" s="112">
        <f>'3-Statement Model'!L327</f>
        <v>3.842524504594878E-3</v>
      </c>
      <c r="H190" s="112">
        <f>'3-Statement Model'!M327</f>
        <v>3.842524504594878E-3</v>
      </c>
      <c r="I190" s="112">
        <f>'3-Statement Model'!N327</f>
        <v>3.842524504594878E-3</v>
      </c>
      <c r="J190" s="112">
        <f>'3-Statement Model'!O327</f>
        <v>3.842524504594878E-3</v>
      </c>
      <c r="K190" s="112">
        <f>'3-Statement Model'!P327</f>
        <v>3.842524504594878E-3</v>
      </c>
      <c r="L190" s="112">
        <f>'3-Statement Model'!Q327</f>
        <v>3.842524504594878E-3</v>
      </c>
      <c r="M190" s="112">
        <f>'3-Statement Model'!R327</f>
        <v>3.842524504594878E-3</v>
      </c>
      <c r="N190" s="112">
        <f>'3-Statement Model'!S327</f>
        <v>3.842524504594878E-3</v>
      </c>
    </row>
    <row r="192" spans="2:14">
      <c r="B192" s="3" t="s">
        <v>165</v>
      </c>
    </row>
    <row r="193" spans="2:14">
      <c r="B193" s="7"/>
    </row>
    <row r="194" spans="2:14">
      <c r="B194" s="180" t="s">
        <v>352</v>
      </c>
      <c r="C194" s="181"/>
      <c r="D194" s="181"/>
      <c r="E194" s="182">
        <f>2025</f>
        <v>2025</v>
      </c>
      <c r="F194" s="182">
        <f t="shared" ref="F194:N194" si="13">E194+1</f>
        <v>2026</v>
      </c>
      <c r="G194" s="182">
        <f t="shared" si="13"/>
        <v>2027</v>
      </c>
      <c r="H194" s="182">
        <f t="shared" si="13"/>
        <v>2028</v>
      </c>
      <c r="I194" s="182">
        <f t="shared" si="13"/>
        <v>2029</v>
      </c>
      <c r="J194" s="182">
        <f t="shared" si="13"/>
        <v>2030</v>
      </c>
      <c r="K194" s="182">
        <f t="shared" si="13"/>
        <v>2031</v>
      </c>
      <c r="L194" s="182">
        <f t="shared" si="13"/>
        <v>2032</v>
      </c>
      <c r="M194" s="182">
        <f t="shared" si="13"/>
        <v>2033</v>
      </c>
      <c r="N194" s="182">
        <f t="shared" si="13"/>
        <v>2034</v>
      </c>
    </row>
    <row r="195" spans="2:14">
      <c r="B195" t="s">
        <v>166</v>
      </c>
      <c r="E195" s="30">
        <f>'3-Statement Model'!J331</f>
        <v>565.76038635907332</v>
      </c>
      <c r="F195" s="30">
        <f>'3-Statement Model'!K331</f>
        <v>595.57397162864947</v>
      </c>
      <c r="G195" s="30">
        <f>'3-Statement Model'!L331</f>
        <v>635.31815273799293</v>
      </c>
      <c r="H195" s="30">
        <f>'3-Statement Model'!M331</f>
        <v>674.06283967857075</v>
      </c>
      <c r="I195" s="30">
        <f>'3-Statement Model'!N331</f>
        <v>711.21971079149557</v>
      </c>
      <c r="J195" s="30">
        <f>'3-Statement Model'!O331</f>
        <v>746.57966267756876</v>
      </c>
      <c r="K195" s="30">
        <f>'3-Statement Model'!P331</f>
        <v>779.65869607048546</v>
      </c>
      <c r="L195" s="30">
        <f>'3-Statement Model'!Q331</f>
        <v>809.98326575628153</v>
      </c>
      <c r="M195" s="30">
        <f>'3-Statement Model'!R331</f>
        <v>837.10124097154369</v>
      </c>
      <c r="N195" s="30">
        <f>'3-Statement Model'!S331</f>
        <v>860.59288808136409</v>
      </c>
    </row>
    <row r="196" spans="2:14">
      <c r="B196" t="s">
        <v>167</v>
      </c>
      <c r="E196" s="30">
        <f>'3-Statement Model'!J332</f>
        <v>496.16382929429358</v>
      </c>
      <c r="F196" s="30">
        <f>'3-Statement Model'!K332</f>
        <v>859.13468404912157</v>
      </c>
      <c r="G196" s="30">
        <f>'3-Statement Model'!L332</f>
        <v>1224.6373319156166</v>
      </c>
      <c r="H196" s="30">
        <f>'3-Statement Model'!M332</f>
        <v>1367.7524602202991</v>
      </c>
      <c r="I196" s="30">
        <f>'3-Statement Model'!N332</f>
        <v>1682.9371016275147</v>
      </c>
      <c r="J196" s="30">
        <f>'3-Statement Model'!O332</f>
        <v>2056.2332527884796</v>
      </c>
      <c r="K196" s="30">
        <f>'3-Statement Model'!P332</f>
        <v>2526.890550672304</v>
      </c>
      <c r="L196" s="30">
        <f>'3-Statement Model'!Q332</f>
        <v>3132.1832761705</v>
      </c>
      <c r="M196" s="30">
        <f>'3-Statement Model'!R332</f>
        <v>3881.5346306456045</v>
      </c>
      <c r="N196" s="30">
        <f>'3-Statement Model'!S332</f>
        <v>4570.0192134991757</v>
      </c>
    </row>
    <row r="197" spans="2:14">
      <c r="B197" t="s">
        <v>271</v>
      </c>
      <c r="E197" s="94">
        <f>'3-Statement Model'!J334</f>
        <v>0</v>
      </c>
      <c r="F197" s="94">
        <f>'3-Statement Model'!K334</f>
        <v>0</v>
      </c>
      <c r="G197" s="94">
        <f>'3-Statement Model'!L334</f>
        <v>0</v>
      </c>
      <c r="H197" s="94">
        <f>'3-Statement Model'!M334</f>
        <v>0</v>
      </c>
      <c r="I197" s="94">
        <f>'3-Statement Model'!N334</f>
        <v>0</v>
      </c>
      <c r="J197" s="94">
        <f>'3-Statement Model'!O334</f>
        <v>0</v>
      </c>
      <c r="K197" s="94">
        <f>'3-Statement Model'!P334</f>
        <v>0</v>
      </c>
      <c r="L197" s="94">
        <f>'3-Statement Model'!Q334</f>
        <v>0</v>
      </c>
      <c r="M197" s="94">
        <f>'3-Statement Model'!R334</f>
        <v>0</v>
      </c>
      <c r="N197" s="94">
        <f>'3-Statement Model'!S334</f>
        <v>0</v>
      </c>
    </row>
    <row r="198" spans="2:14">
      <c r="B198" t="s">
        <v>169</v>
      </c>
      <c r="E198" s="94">
        <f>'3-Statement Model'!J335</f>
        <v>0.15</v>
      </c>
      <c r="F198" s="94">
        <f>'3-Statement Model'!K335</f>
        <v>0.15</v>
      </c>
      <c r="G198" s="94">
        <f>'3-Statement Model'!L335</f>
        <v>0.15</v>
      </c>
      <c r="H198" s="94">
        <f>'3-Statement Model'!M335</f>
        <v>0</v>
      </c>
      <c r="I198" s="94">
        <f>'3-Statement Model'!N335</f>
        <v>0</v>
      </c>
      <c r="J198" s="94">
        <f>'3-Statement Model'!O335</f>
        <v>0</v>
      </c>
      <c r="K198" s="94">
        <f>'3-Statement Model'!P335</f>
        <v>0</v>
      </c>
      <c r="L198" s="94">
        <f>'3-Statement Model'!Q335</f>
        <v>0</v>
      </c>
      <c r="M198" s="94">
        <f>'3-Statement Model'!R335</f>
        <v>0</v>
      </c>
      <c r="N198" s="94">
        <f>'3-Statement Model'!S335</f>
        <v>0</v>
      </c>
    </row>
    <row r="199" spans="2:14">
      <c r="B199" s="167" t="s">
        <v>170</v>
      </c>
      <c r="C199" s="161"/>
      <c r="D199" s="161"/>
      <c r="E199" s="171">
        <f>'3-Statement Model'!J337</f>
        <v>-74.424574394144031</v>
      </c>
      <c r="F199" s="171">
        <f>'3-Statement Model'!K337</f>
        <v>-128.87020260736824</v>
      </c>
      <c r="G199" s="171">
        <f>'3-Statement Model'!L337</f>
        <v>-183.6955997873425</v>
      </c>
      <c r="H199" s="171">
        <f>'3-Statement Model'!M337</f>
        <v>0</v>
      </c>
      <c r="I199" s="171">
        <f>'3-Statement Model'!N337</f>
        <v>0</v>
      </c>
      <c r="J199" s="171">
        <f>'3-Statement Model'!O337</f>
        <v>0</v>
      </c>
      <c r="K199" s="171">
        <f>'3-Statement Model'!P337</f>
        <v>0</v>
      </c>
      <c r="L199" s="171">
        <f>'3-Statement Model'!Q337</f>
        <v>0</v>
      </c>
      <c r="M199" s="171">
        <f>'3-Statement Model'!R337</f>
        <v>0</v>
      </c>
      <c r="N199" s="171">
        <f>'3-Statement Model'!S337</f>
        <v>0</v>
      </c>
    </row>
    <row r="200" spans="2:14">
      <c r="B200" t="s">
        <v>171</v>
      </c>
      <c r="E200">
        <f>'3-Statement Model'!J338</f>
        <v>0</v>
      </c>
      <c r="F200">
        <f>'3-Statement Model'!K338</f>
        <v>0</v>
      </c>
      <c r="G200">
        <f>'3-Statement Model'!L338</f>
        <v>0</v>
      </c>
      <c r="H200">
        <f>'3-Statement Model'!M338</f>
        <v>0</v>
      </c>
      <c r="I200">
        <f>'3-Statement Model'!N338</f>
        <v>0</v>
      </c>
      <c r="J200">
        <f>'3-Statement Model'!O338</f>
        <v>0</v>
      </c>
      <c r="K200">
        <f>'3-Statement Model'!P338</f>
        <v>0</v>
      </c>
      <c r="L200">
        <f>'3-Statement Model'!Q338</f>
        <v>0</v>
      </c>
      <c r="M200">
        <f>'3-Statement Model'!R338</f>
        <v>0</v>
      </c>
      <c r="N200">
        <f>'3-Statement Model'!S338</f>
        <v>0</v>
      </c>
    </row>
    <row r="201" spans="2:14">
      <c r="B201" t="s">
        <v>172</v>
      </c>
      <c r="E201" s="94">
        <f>'3-Statement Model'!J340</f>
        <v>2.7040000000000002E-2</v>
      </c>
      <c r="F201" s="94">
        <f>'3-Statement Model'!K340</f>
        <v>2.7040000000000002E-2</v>
      </c>
      <c r="G201" s="94">
        <f>'3-Statement Model'!L340</f>
        <v>2.7040000000000002E-2</v>
      </c>
      <c r="H201" s="94">
        <f>'3-Statement Model'!M340</f>
        <v>2.7040000000000002E-2</v>
      </c>
      <c r="I201" s="94">
        <f>'3-Statement Model'!N340</f>
        <v>2.7040000000000002E-2</v>
      </c>
      <c r="J201" s="94">
        <f>'3-Statement Model'!O340</f>
        <v>2.7040000000000002E-2</v>
      </c>
      <c r="K201" s="94">
        <f>'3-Statement Model'!P340</f>
        <v>2.7040000000000002E-2</v>
      </c>
      <c r="L201" s="94">
        <f>'3-Statement Model'!Q340</f>
        <v>2.7040000000000002E-2</v>
      </c>
      <c r="M201" s="94">
        <f>'3-Statement Model'!R340</f>
        <v>2.7040000000000002E-2</v>
      </c>
      <c r="N201" s="94">
        <f>'3-Statement Model'!S340</f>
        <v>2.7040000000000002E-2</v>
      </c>
    </row>
    <row r="202" spans="2:14">
      <c r="B202" s="167" t="s">
        <v>173</v>
      </c>
      <c r="C202" s="167"/>
      <c r="D202" s="167"/>
      <c r="E202" s="171">
        <f>'3-Statement Model'!J341</f>
        <v>146.68659200000002</v>
      </c>
      <c r="F202" s="171">
        <f>'3-Statement Model'!K341</f>
        <v>144.67415150838238</v>
      </c>
      <c r="G202" s="171">
        <f>'3-Statement Model'!L341</f>
        <v>141.18950122987914</v>
      </c>
      <c r="H202" s="171">
        <f>'3-Statement Model'!M341</f>
        <v>136.22237221162939</v>
      </c>
      <c r="I202" s="171">
        <f>'3-Statement Model'!N341</f>
        <v>136.22237221162939</v>
      </c>
      <c r="J202" s="171">
        <f>'3-Statement Model'!O341</f>
        <v>136.22237221162939</v>
      </c>
      <c r="K202" s="171">
        <f>'3-Statement Model'!P341</f>
        <v>136.22237221162939</v>
      </c>
      <c r="L202" s="171">
        <f>'3-Statement Model'!Q341</f>
        <v>136.22237221162939</v>
      </c>
      <c r="M202" s="171">
        <f>'3-Statement Model'!R341</f>
        <v>136.22237221162939</v>
      </c>
      <c r="N202" s="171">
        <f>'3-Statement Model'!S341</f>
        <v>136.22237221162939</v>
      </c>
    </row>
    <row r="204" spans="2:14">
      <c r="B204" s="3" t="s">
        <v>388</v>
      </c>
    </row>
    <row r="206" spans="2:14">
      <c r="B206" s="180"/>
      <c r="C206" s="181"/>
      <c r="D206" s="181"/>
      <c r="E206" s="182">
        <f>2025</f>
        <v>2025</v>
      </c>
      <c r="F206" s="182">
        <f t="shared" ref="F206:N206" si="14">E206+1</f>
        <v>2026</v>
      </c>
      <c r="G206" s="182">
        <f t="shared" si="14"/>
        <v>2027</v>
      </c>
      <c r="H206" s="182">
        <f t="shared" si="14"/>
        <v>2028</v>
      </c>
      <c r="I206" s="182">
        <f t="shared" si="14"/>
        <v>2029</v>
      </c>
      <c r="J206" s="182">
        <f t="shared" si="14"/>
        <v>2030</v>
      </c>
      <c r="K206" s="182">
        <f t="shared" si="14"/>
        <v>2031</v>
      </c>
      <c r="L206" s="182">
        <f t="shared" si="14"/>
        <v>2032</v>
      </c>
      <c r="M206" s="182">
        <f t="shared" si="14"/>
        <v>2033</v>
      </c>
      <c r="N206" s="182">
        <f t="shared" si="14"/>
        <v>2034</v>
      </c>
    </row>
    <row r="207" spans="2:14">
      <c r="B207" s="161" t="s">
        <v>389</v>
      </c>
      <c r="C207" s="161" t="s">
        <v>390</v>
      </c>
      <c r="D207" s="161"/>
      <c r="E207" s="162">
        <f>'3-Statement Model'!J9</f>
        <v>-1.204749034749035E-2</v>
      </c>
      <c r="F207" s="162">
        <f>'3-Statement Model'!K9</f>
        <v>5.2486486486486489E-2</v>
      </c>
      <c r="G207" s="162">
        <f>'3-Statement Model'!L9</f>
        <v>5.6324324324324326E-2</v>
      </c>
      <c r="H207" s="162">
        <f>'3-Statement Model'!M9</f>
        <v>5.4162162162162165E-2</v>
      </c>
      <c r="I207" s="162">
        <f>'3-Statement Model'!N9</f>
        <v>5.3498069498069505E-2</v>
      </c>
      <c r="J207" s="162">
        <f>'3-Statement Model'!O9</f>
        <v>4.8398455598455604E-2</v>
      </c>
      <c r="K207" s="162">
        <f>'3-Statement Model'!P9</f>
        <v>4.3298841698841704E-2</v>
      </c>
      <c r="L207" s="162">
        <f>'3-Statement Model'!Q9</f>
        <v>3.8199227799227804E-2</v>
      </c>
      <c r="M207" s="162">
        <f>'3-Statement Model'!R9</f>
        <v>3.3099613899613904E-2</v>
      </c>
      <c r="N207" s="162">
        <f>'3-Statement Model'!S9</f>
        <v>2.8000000000000001E-2</v>
      </c>
    </row>
    <row r="208" spans="2:14">
      <c r="B208" t="s">
        <v>391</v>
      </c>
      <c r="C208" t="s">
        <v>390</v>
      </c>
      <c r="E208" s="94">
        <f>'3-Statement Model'!J13</f>
        <v>-4.1000000000000009E-2</v>
      </c>
      <c r="F208" s="94">
        <f>'3-Statement Model'!K13</f>
        <v>4.4999999999999998E-2</v>
      </c>
      <c r="G208" s="94">
        <f>'3-Statement Model'!L13</f>
        <v>0.08</v>
      </c>
      <c r="H208" s="94">
        <f>'3-Statement Model'!M13</f>
        <v>7.1999999999999995E-2</v>
      </c>
      <c r="I208" s="94">
        <f>'3-Statement Model'!N13</f>
        <v>5.8999999999999997E-2</v>
      </c>
      <c r="J208" s="94">
        <f>'3-Statement Model'!O13</f>
        <v>5.2940000000000001E-2</v>
      </c>
      <c r="K208" s="94">
        <f>'3-Statement Model'!P13</f>
        <v>4.6880000000000005E-2</v>
      </c>
      <c r="L208" s="94">
        <f>'3-Statement Model'!Q13</f>
        <v>4.0820000000000009E-2</v>
      </c>
      <c r="M208" s="94">
        <f>'3-Statement Model'!R13</f>
        <v>3.4760000000000013E-2</v>
      </c>
      <c r="N208" s="94">
        <f>'3-Statement Model'!S13</f>
        <v>2.87E-2</v>
      </c>
    </row>
    <row r="209" spans="2:14">
      <c r="B209" s="161" t="s">
        <v>392</v>
      </c>
      <c r="C209" s="161" t="s">
        <v>390</v>
      </c>
      <c r="D209" s="161"/>
      <c r="E209" s="162">
        <f>'3-Statement Model'!J17</f>
        <v>-8.4999999999999992E-2</v>
      </c>
      <c r="F209" s="162">
        <f>'3-Statement Model'!K17</f>
        <v>6.6000000000000003E-2</v>
      </c>
      <c r="G209" s="162">
        <f>'3-Statement Model'!L17</f>
        <v>6.7000000000000004E-2</v>
      </c>
      <c r="H209" s="162">
        <f>'3-Statement Model'!M17</f>
        <v>5.7000000000000002E-2</v>
      </c>
      <c r="I209" s="162">
        <f>'3-Statement Model'!N17</f>
        <v>5.2000000000000005E-2</v>
      </c>
      <c r="J209" s="162">
        <f>'3-Statement Model'!O17</f>
        <v>4.7020000000000006E-2</v>
      </c>
      <c r="K209" s="162">
        <f>'3-Statement Model'!P17</f>
        <v>4.2040000000000008E-2</v>
      </c>
      <c r="L209" s="162">
        <f>'3-Statement Model'!Q17</f>
        <v>3.706000000000001E-2</v>
      </c>
      <c r="M209" s="162">
        <f>'3-Statement Model'!R17</f>
        <v>3.2080000000000011E-2</v>
      </c>
      <c r="N209" s="162">
        <f>'3-Statement Model'!S17</f>
        <v>2.7099999999999999E-2</v>
      </c>
    </row>
    <row r="210" spans="2:14">
      <c r="B210" t="s">
        <v>10</v>
      </c>
      <c r="C210" t="s">
        <v>5</v>
      </c>
      <c r="E210" s="172">
        <f>'3-Statement Model'!J30</f>
        <v>0.45</v>
      </c>
      <c r="F210" s="172">
        <f>'3-Statement Model'!K30</f>
        <v>0.45</v>
      </c>
      <c r="G210" s="172">
        <f>'3-Statement Model'!L30</f>
        <v>0.45</v>
      </c>
      <c r="H210" s="172">
        <f>'3-Statement Model'!M30</f>
        <v>0.45</v>
      </c>
      <c r="I210" s="172">
        <f>'3-Statement Model'!N30</f>
        <v>0.45</v>
      </c>
      <c r="J210" s="172">
        <f>'3-Statement Model'!O30</f>
        <v>0.45</v>
      </c>
      <c r="K210" s="172">
        <f>'3-Statement Model'!P30</f>
        <v>0.45</v>
      </c>
      <c r="L210" s="172">
        <f>'3-Statement Model'!Q30</f>
        <v>0.45</v>
      </c>
      <c r="M210" s="172">
        <f>'3-Statement Model'!R30</f>
        <v>0.45</v>
      </c>
      <c r="N210" s="172">
        <f>'3-Statement Model'!S30</f>
        <v>0.45</v>
      </c>
    </row>
    <row r="211" spans="2:14">
      <c r="B211" s="173" t="s">
        <v>393</v>
      </c>
      <c r="C211" s="161" t="s">
        <v>5</v>
      </c>
      <c r="D211" s="161"/>
      <c r="E211" s="162">
        <f>'3-Statement Model'!J38</f>
        <v>0.189</v>
      </c>
      <c r="F211" s="162">
        <f>'3-Statement Model'!K38</f>
        <v>0.182</v>
      </c>
      <c r="G211" s="162">
        <f>'3-Statement Model'!L38</f>
        <v>0.17699999999999999</v>
      </c>
      <c r="H211" s="162">
        <f>'3-Statement Model'!M38</f>
        <v>0.17699999999999999</v>
      </c>
      <c r="I211" s="162">
        <f>'3-Statement Model'!N38</f>
        <v>0.17699999999999999</v>
      </c>
      <c r="J211" s="162">
        <f>'3-Statement Model'!O38</f>
        <v>0.17699999999999999</v>
      </c>
      <c r="K211" s="162">
        <f>'3-Statement Model'!P38</f>
        <v>0.17699999999999999</v>
      </c>
      <c r="L211" s="162">
        <f>'3-Statement Model'!Q38</f>
        <v>0.17699999999999999</v>
      </c>
      <c r="M211" s="162">
        <f>'3-Statement Model'!R38</f>
        <v>0.17699999999999999</v>
      </c>
      <c r="N211" s="162">
        <f>'3-Statement Model'!S38</f>
        <v>0.17699999999999999</v>
      </c>
    </row>
    <row r="212" spans="2:14">
      <c r="B212" s="28" t="s">
        <v>394</v>
      </c>
      <c r="C212" t="s">
        <v>5</v>
      </c>
      <c r="E212" s="94">
        <f>'3-Statement Model'!J41</f>
        <v>5.1999999999999998E-2</v>
      </c>
      <c r="F212" s="94">
        <f>'3-Statement Model'!K41</f>
        <v>5.0999999999999997E-2</v>
      </c>
      <c r="G212" s="94">
        <f>'3-Statement Model'!L41</f>
        <v>0.05</v>
      </c>
      <c r="H212" s="94">
        <f>'3-Statement Model'!M41</f>
        <v>4.9000000000000002E-2</v>
      </c>
      <c r="I212" s="94">
        <f>'3-Statement Model'!N41</f>
        <v>4.9000000000000002E-2</v>
      </c>
      <c r="J212" s="94">
        <f>'3-Statement Model'!O41</f>
        <v>4.9000000000000002E-2</v>
      </c>
      <c r="K212" s="94">
        <f>'3-Statement Model'!P41</f>
        <v>4.9000000000000002E-2</v>
      </c>
      <c r="L212" s="94">
        <f>'3-Statement Model'!Q41</f>
        <v>4.9000000000000002E-2</v>
      </c>
      <c r="M212" s="94">
        <f>'3-Statement Model'!R41</f>
        <v>4.9000000000000002E-2</v>
      </c>
      <c r="N212" s="94">
        <f>'3-Statement Model'!S41</f>
        <v>4.9000000000000002E-2</v>
      </c>
    </row>
    <row r="213" spans="2:14">
      <c r="B213" s="173" t="s">
        <v>395</v>
      </c>
      <c r="C213" s="161" t="s">
        <v>5</v>
      </c>
      <c r="D213" s="161"/>
      <c r="E213" s="162">
        <f>'3-Statement Model'!J44</f>
        <v>0.05</v>
      </c>
      <c r="F213" s="162">
        <f>'3-Statement Model'!K44</f>
        <v>4.9000000000000002E-2</v>
      </c>
      <c r="G213" s="162">
        <f>'3-Statement Model'!L44</f>
        <v>4.9000000000000002E-2</v>
      </c>
      <c r="H213" s="162">
        <f>'3-Statement Model'!M44</f>
        <v>4.8000000000000001E-2</v>
      </c>
      <c r="I213" s="162">
        <f>'3-Statement Model'!N44</f>
        <v>4.8000000000000001E-2</v>
      </c>
      <c r="J213" s="162">
        <f>'3-Statement Model'!O44</f>
        <v>4.8000000000000001E-2</v>
      </c>
      <c r="K213" s="162">
        <f>'3-Statement Model'!P44</f>
        <v>4.8000000000000001E-2</v>
      </c>
      <c r="L213" s="162">
        <f>'3-Statement Model'!Q44</f>
        <v>4.8000000000000001E-2</v>
      </c>
      <c r="M213" s="162">
        <f>'3-Statement Model'!R44</f>
        <v>4.8000000000000001E-2</v>
      </c>
      <c r="N213" s="162">
        <f>'3-Statement Model'!S44</f>
        <v>4.8000000000000001E-2</v>
      </c>
    </row>
    <row r="214" spans="2:14">
      <c r="B214" s="28" t="s">
        <v>396</v>
      </c>
      <c r="C214" t="s">
        <v>5</v>
      </c>
      <c r="E214" s="94">
        <f>'3-Statement Model'!J47</f>
        <v>3.1E-2</v>
      </c>
      <c r="F214" s="94">
        <f>'3-Statement Model'!K47</f>
        <v>0.03</v>
      </c>
      <c r="G214" s="94">
        <f>'3-Statement Model'!L47</f>
        <v>2.9000000000000001E-2</v>
      </c>
      <c r="H214" s="94">
        <f>'3-Statement Model'!M47</f>
        <v>2.9000000000000001E-2</v>
      </c>
      <c r="I214" s="94">
        <f>'3-Statement Model'!N47</f>
        <v>2.9000000000000001E-2</v>
      </c>
      <c r="J214" s="94">
        <f>'3-Statement Model'!O47</f>
        <v>2.9000000000000001E-2</v>
      </c>
      <c r="K214" s="94">
        <f>'3-Statement Model'!P47</f>
        <v>2.9000000000000001E-2</v>
      </c>
      <c r="L214" s="94">
        <f>'3-Statement Model'!Q47</f>
        <v>2.9000000000000001E-2</v>
      </c>
      <c r="M214" s="94">
        <f>'3-Statement Model'!R47</f>
        <v>2.9000000000000001E-2</v>
      </c>
      <c r="N214" s="94">
        <f>'3-Statement Model'!S47</f>
        <v>2.9000000000000001E-2</v>
      </c>
    </row>
    <row r="215" spans="2:14">
      <c r="B215" s="173" t="s">
        <v>397</v>
      </c>
      <c r="C215" s="161" t="s">
        <v>5</v>
      </c>
      <c r="D215" s="161"/>
      <c r="E215" s="162">
        <f>'3-Statement Model'!J50</f>
        <v>3.5999999999999997E-2</v>
      </c>
      <c r="F215" s="162">
        <f>'3-Statement Model'!K50</f>
        <v>3.5000000000000003E-2</v>
      </c>
      <c r="G215" s="162">
        <f>'3-Statement Model'!L50</f>
        <v>3.5000000000000003E-2</v>
      </c>
      <c r="H215" s="162">
        <f>'3-Statement Model'!M50</f>
        <v>3.4000000000000002E-2</v>
      </c>
      <c r="I215" s="162">
        <f>'3-Statement Model'!N50</f>
        <v>3.4000000000000002E-2</v>
      </c>
      <c r="J215" s="162">
        <f>'3-Statement Model'!O50</f>
        <v>3.4000000000000002E-2</v>
      </c>
      <c r="K215" s="162">
        <f>'3-Statement Model'!P50</f>
        <v>3.4000000000000002E-2</v>
      </c>
      <c r="L215" s="162">
        <f>'3-Statement Model'!Q50</f>
        <v>3.4000000000000002E-2</v>
      </c>
      <c r="M215" s="162">
        <f>'3-Statement Model'!R50</f>
        <v>3.4000000000000002E-2</v>
      </c>
      <c r="N215" s="162">
        <f>'3-Statement Model'!S50</f>
        <v>3.4000000000000002E-2</v>
      </c>
    </row>
    <row r="216" spans="2:14">
      <c r="B216" s="28" t="s">
        <v>398</v>
      </c>
      <c r="C216" t="s">
        <v>390</v>
      </c>
      <c r="E216" s="94">
        <f>Assumptions!J41</f>
        <v>2.0674160130730607E-2</v>
      </c>
      <c r="F216" s="94">
        <f>Assumptions!K41</f>
        <v>2.0674160130730607E-2</v>
      </c>
      <c r="G216" s="94">
        <f>Assumptions!L41</f>
        <v>2.0674160130730607E-2</v>
      </c>
      <c r="H216" s="94">
        <f>Assumptions!M41</f>
        <v>2.0674160130730607E-2</v>
      </c>
      <c r="I216" s="94">
        <f>Assumptions!N41</f>
        <v>2.0674160130730607E-2</v>
      </c>
      <c r="J216" s="94">
        <f>Assumptions!O41</f>
        <v>2.0674160130730607E-2</v>
      </c>
      <c r="K216" s="94">
        <f>Assumptions!P41</f>
        <v>2.0674160130730607E-2</v>
      </c>
      <c r="L216" s="94">
        <f>Assumptions!Q41</f>
        <v>2.0674160130730607E-2</v>
      </c>
      <c r="M216" s="94">
        <f>Assumptions!R41</f>
        <v>2.0674160130730607E-2</v>
      </c>
      <c r="N216" s="94">
        <f>Assumptions!S41</f>
        <v>2.0674160130730607E-2</v>
      </c>
    </row>
    <row r="217" spans="2:14">
      <c r="B217" s="173" t="s">
        <v>34</v>
      </c>
      <c r="C217" s="161" t="s">
        <v>390</v>
      </c>
      <c r="D217" s="161"/>
      <c r="E217" s="162">
        <f>Assumptions!J50</f>
        <v>0.20179142674344236</v>
      </c>
      <c r="F217" s="162">
        <f>Assumptions!K50</f>
        <v>0.20179142674344236</v>
      </c>
      <c r="G217" s="162">
        <f>Assumptions!L50</f>
        <v>0.20179142674344236</v>
      </c>
      <c r="H217" s="162">
        <f>Assumptions!M50</f>
        <v>0.20179142674344236</v>
      </c>
      <c r="I217" s="162">
        <f>Assumptions!N50</f>
        <v>0.20179142674344236</v>
      </c>
      <c r="J217" s="162">
        <f>Assumptions!O50</f>
        <v>0.20179142674344236</v>
      </c>
      <c r="K217" s="162">
        <f>Assumptions!P50</f>
        <v>0.20179142674344236</v>
      </c>
      <c r="L217" s="162">
        <f>Assumptions!Q50</f>
        <v>0.20179142674344236</v>
      </c>
      <c r="M217" s="162">
        <f>Assumptions!R50</f>
        <v>0.20179142674344236</v>
      </c>
      <c r="N217" s="162">
        <f>Assumptions!S50</f>
        <v>0.20179142674344236</v>
      </c>
    </row>
    <row r="218" spans="2:14">
      <c r="B218" t="s">
        <v>25</v>
      </c>
      <c r="C218" t="s">
        <v>5</v>
      </c>
      <c r="E218" s="94">
        <f>Assumptions!J53</f>
        <v>0</v>
      </c>
      <c r="F218" s="94">
        <f>Assumptions!K53</f>
        <v>0</v>
      </c>
      <c r="G218" s="94">
        <f>Assumptions!L53</f>
        <v>0</v>
      </c>
      <c r="H218" s="94">
        <f>Assumptions!M53</f>
        <v>0</v>
      </c>
      <c r="I218" s="94">
        <f>Assumptions!N53</f>
        <v>0</v>
      </c>
      <c r="J218" s="94">
        <f>Assumptions!O53</f>
        <v>0</v>
      </c>
      <c r="K218" s="94">
        <f>Assumptions!P53</f>
        <v>0</v>
      </c>
      <c r="L218" s="94">
        <f>Assumptions!Q53</f>
        <v>0</v>
      </c>
      <c r="M218" s="94">
        <f>Assumptions!R53</f>
        <v>0</v>
      </c>
      <c r="N218" s="94">
        <f>Assumptions!S53</f>
        <v>0</v>
      </c>
    </row>
    <row r="219" spans="2:14">
      <c r="B219" s="173" t="s">
        <v>262</v>
      </c>
      <c r="C219" s="161" t="s">
        <v>5</v>
      </c>
      <c r="D219" s="161"/>
      <c r="E219" s="162">
        <f>Assumptions!J57</f>
        <v>1.85E-4</v>
      </c>
      <c r="F219" s="162">
        <f>Assumptions!K57</f>
        <v>1.9000000000000001E-4</v>
      </c>
      <c r="G219" s="162">
        <f>Assumptions!L57</f>
        <v>1.9500000000000002E-4</v>
      </c>
      <c r="H219" s="162">
        <f>Assumptions!M57</f>
        <v>2.0000000000000004E-4</v>
      </c>
      <c r="I219" s="162">
        <f>Assumptions!N57</f>
        <v>2.0500000000000005E-4</v>
      </c>
      <c r="J219" s="162">
        <f>Assumptions!O57</f>
        <v>2.1000000000000006E-4</v>
      </c>
      <c r="K219" s="162">
        <f>Assumptions!P57</f>
        <v>2.1500000000000008E-4</v>
      </c>
      <c r="L219" s="162">
        <f>Assumptions!Q57</f>
        <v>2.2000000000000009E-4</v>
      </c>
      <c r="M219" s="162">
        <f>Assumptions!R57</f>
        <v>2.250000000000001E-4</v>
      </c>
      <c r="N219" s="162">
        <f>Assumptions!S57</f>
        <v>2.3000000000000012E-4</v>
      </c>
    </row>
    <row r="220" spans="2:14">
      <c r="B220" t="s">
        <v>86</v>
      </c>
      <c r="C220" s="58" t="s">
        <v>5</v>
      </c>
      <c r="E220" s="94">
        <f>Assumptions!J87</f>
        <v>0</v>
      </c>
      <c r="F220" s="94">
        <f>Assumptions!K87</f>
        <v>0</v>
      </c>
      <c r="G220" s="94">
        <f>Assumptions!L87</f>
        <v>0</v>
      </c>
      <c r="H220" s="94">
        <f>Assumptions!M87</f>
        <v>0</v>
      </c>
      <c r="I220" s="94">
        <f>Assumptions!N87</f>
        <v>0</v>
      </c>
      <c r="J220" s="94">
        <f>Assumptions!O87</f>
        <v>0</v>
      </c>
      <c r="K220" s="94">
        <f>Assumptions!P87</f>
        <v>0</v>
      </c>
      <c r="L220" s="94">
        <f>Assumptions!Q87</f>
        <v>0</v>
      </c>
      <c r="M220" s="94">
        <f>Assumptions!R87</f>
        <v>0</v>
      </c>
      <c r="N220" s="94">
        <f>Assumptions!S87</f>
        <v>0</v>
      </c>
    </row>
    <row r="221" spans="2:14">
      <c r="B221" s="173" t="s">
        <v>399</v>
      </c>
      <c r="C221" s="161" t="s">
        <v>5</v>
      </c>
      <c r="D221" s="161"/>
      <c r="E221" s="162">
        <f>Assumptions!J27</f>
        <v>0.03</v>
      </c>
      <c r="F221" s="162">
        <f>Assumptions!K27</f>
        <v>0.03</v>
      </c>
      <c r="G221" s="162">
        <f>Assumptions!L27</f>
        <v>0.03</v>
      </c>
      <c r="H221" s="162">
        <f>Assumptions!M27</f>
        <v>0.03</v>
      </c>
      <c r="I221" s="162">
        <f>Assumptions!N27</f>
        <v>0.03</v>
      </c>
      <c r="J221" s="162">
        <f>Assumptions!O27</f>
        <v>0.03</v>
      </c>
      <c r="K221" s="162">
        <f>Assumptions!P27</f>
        <v>2.6749999999999999E-2</v>
      </c>
      <c r="L221" s="162">
        <f>Assumptions!Q27</f>
        <v>2.35E-2</v>
      </c>
      <c r="M221" s="162">
        <f>Assumptions!R27</f>
        <v>2.0250000000000001E-2</v>
      </c>
      <c r="N221" s="162">
        <f>Assumptions!S27</f>
        <v>1.7000000000000001E-2</v>
      </c>
    </row>
    <row r="222" spans="2:14">
      <c r="B222" s="28" t="s">
        <v>400</v>
      </c>
      <c r="C222" t="s">
        <v>5</v>
      </c>
      <c r="E222" s="94">
        <f>Assumptions!J29</f>
        <v>1.1047272474074377E-2</v>
      </c>
      <c r="F222" s="94">
        <f>Assumptions!K29</f>
        <v>1.1047272474074377E-2</v>
      </c>
      <c r="G222" s="94">
        <f>Assumptions!L29</f>
        <v>1.1047272474074377E-2</v>
      </c>
      <c r="H222" s="94">
        <f>Assumptions!M29</f>
        <v>1.1047272474074377E-2</v>
      </c>
      <c r="I222" s="94">
        <f>Assumptions!N29</f>
        <v>1.0539393728395314E-2</v>
      </c>
      <c r="J222" s="94">
        <f>Assumptions!O29</f>
        <v>1.003151498271625E-2</v>
      </c>
      <c r="K222" s="94">
        <f>Assumptions!P29</f>
        <v>9.523636237037187E-3</v>
      </c>
      <c r="L222" s="94">
        <f>Assumptions!Q29</f>
        <v>9.0157574913581236E-3</v>
      </c>
      <c r="M222" s="94">
        <f>Assumptions!R29</f>
        <v>8.5078787456790601E-3</v>
      </c>
      <c r="N222" s="94">
        <f>Assumptions!S29</f>
        <v>8.0000000000000002E-3</v>
      </c>
    </row>
    <row r="223" spans="2:14">
      <c r="B223" s="173" t="s">
        <v>401</v>
      </c>
      <c r="C223" s="161" t="s">
        <v>5</v>
      </c>
      <c r="D223" s="161"/>
      <c r="E223" s="162">
        <f>Assumptions!J31</f>
        <v>2.2136199544897589E-3</v>
      </c>
      <c r="F223" s="162">
        <f>Assumptions!K31</f>
        <v>2.2136199544897589E-3</v>
      </c>
      <c r="G223" s="162">
        <f>Assumptions!L31</f>
        <v>2.2136199544897589E-3</v>
      </c>
      <c r="H223" s="162">
        <f>Assumptions!M31</f>
        <v>2.2136199544897589E-3</v>
      </c>
      <c r="I223" s="162">
        <f>Assumptions!N31</f>
        <v>2.2136199544897589E-3</v>
      </c>
      <c r="J223" s="162">
        <f>Assumptions!O31</f>
        <v>2.2136199544897589E-3</v>
      </c>
      <c r="K223" s="162">
        <f>Assumptions!P31</f>
        <v>2.2136199544897589E-3</v>
      </c>
      <c r="L223" s="162">
        <f>Assumptions!Q31</f>
        <v>2.2136199544897589E-3</v>
      </c>
      <c r="M223" s="162">
        <f>Assumptions!R31</f>
        <v>2.2136199544897589E-3</v>
      </c>
      <c r="N223" s="162">
        <f>Assumptions!S31</f>
        <v>2.2136199544897589E-3</v>
      </c>
    </row>
    <row r="224" spans="2:14">
      <c r="B224" s="28" t="s">
        <v>402</v>
      </c>
      <c r="C224" t="s">
        <v>390</v>
      </c>
      <c r="E224" s="94">
        <f>Assumptions!J34</f>
        <v>1.078713094337377E-2</v>
      </c>
      <c r="F224" s="94">
        <f>Assumptions!K34</f>
        <v>1.4009359777609642E-2</v>
      </c>
      <c r="G224" s="94">
        <f>Assumptions!L34</f>
        <v>1.4009359777609642E-2</v>
      </c>
      <c r="H224" s="94">
        <f>Assumptions!M34</f>
        <v>1.4009359777609642E-2</v>
      </c>
      <c r="I224" s="94">
        <f>Assumptions!N34</f>
        <v>1.4009359777609642E-2</v>
      </c>
      <c r="J224" s="94">
        <f>Assumptions!O34</f>
        <v>1.2E-2</v>
      </c>
      <c r="K224" s="94">
        <f>Assumptions!P34</f>
        <v>0.01</v>
      </c>
      <c r="L224" s="94">
        <f>Assumptions!Q34</f>
        <v>7.0000000000000001E-3</v>
      </c>
      <c r="M224" s="94">
        <f>Assumptions!R34</f>
        <v>3.0000000000000001E-3</v>
      </c>
      <c r="N224" s="94">
        <f>Assumptions!S34</f>
        <v>0</v>
      </c>
    </row>
    <row r="225" spans="2:14">
      <c r="B225" s="173" t="s">
        <v>255</v>
      </c>
      <c r="C225" s="161" t="s">
        <v>276</v>
      </c>
      <c r="D225" s="161"/>
      <c r="E225" s="174">
        <f>Assumptions!J35</f>
        <v>126.89009999999999</v>
      </c>
      <c r="F225" s="174">
        <f>Assumptions!K35</f>
        <v>158.51881600847386</v>
      </c>
      <c r="G225" s="174">
        <f>Assumptions!L35</f>
        <v>166.87220085451256</v>
      </c>
      <c r="H225" s="174">
        <f>Assumptions!M35</f>
        <v>178.00801149905794</v>
      </c>
      <c r="I225" s="174">
        <f>Assumptions!N35</f>
        <v>188.86377667548609</v>
      </c>
      <c r="J225" s="174">
        <f>Assumptions!O35</f>
        <v>170.69273058995893</v>
      </c>
      <c r="K225" s="174">
        <f>Assumptions!P35</f>
        <v>149.31593253551375</v>
      </c>
      <c r="L225" s="174">
        <f>Assumptions!Q35</f>
        <v>109.15221744986796</v>
      </c>
      <c r="M225" s="174">
        <f>Assumptions!R35</f>
        <v>48.598995945376892</v>
      </c>
      <c r="N225" s="174">
        <f>Assumptions!S35</f>
        <v>0</v>
      </c>
    </row>
    <row r="226" spans="2:14">
      <c r="B226" s="28" t="s">
        <v>256</v>
      </c>
      <c r="C226" t="s">
        <v>403</v>
      </c>
      <c r="E226" s="77">
        <f>Assumptions!J36</f>
        <v>2</v>
      </c>
      <c r="F226" s="77">
        <f>Assumptions!K36</f>
        <v>2</v>
      </c>
      <c r="G226" s="77">
        <f>Assumptions!L36</f>
        <v>2</v>
      </c>
      <c r="H226" s="77">
        <f>Assumptions!M36</f>
        <v>2</v>
      </c>
      <c r="I226" s="77">
        <f>Assumptions!N36</f>
        <v>2</v>
      </c>
      <c r="J226" s="77">
        <f>Assumptions!O36</f>
        <v>2</v>
      </c>
      <c r="K226" s="77">
        <f>Assumptions!P36</f>
        <v>2</v>
      </c>
      <c r="L226" s="77">
        <f>Assumptions!Q36</f>
        <v>2</v>
      </c>
      <c r="M226" s="77">
        <f>Assumptions!R36</f>
        <v>2</v>
      </c>
      <c r="N226" s="77">
        <f>Assumptions!S36</f>
        <v>2</v>
      </c>
    </row>
    <row r="228" spans="2:14">
      <c r="B228" s="3" t="s">
        <v>174</v>
      </c>
    </row>
    <row r="230" spans="2:14">
      <c r="B230" s="180"/>
      <c r="C230" s="181"/>
      <c r="D230" s="181"/>
      <c r="E230" s="182">
        <f>2025</f>
        <v>2025</v>
      </c>
      <c r="F230" s="182">
        <f t="shared" ref="F230:N230" si="15">E230+1</f>
        <v>2026</v>
      </c>
      <c r="G230" s="182">
        <f t="shared" si="15"/>
        <v>2027</v>
      </c>
      <c r="H230" s="182">
        <f t="shared" si="15"/>
        <v>2028</v>
      </c>
      <c r="I230" s="182">
        <f t="shared" si="15"/>
        <v>2029</v>
      </c>
      <c r="J230" s="182">
        <f t="shared" si="15"/>
        <v>2030</v>
      </c>
      <c r="K230" s="182">
        <f t="shared" si="15"/>
        <v>2031</v>
      </c>
      <c r="L230" s="182">
        <f t="shared" si="15"/>
        <v>2032</v>
      </c>
      <c r="M230" s="182">
        <f t="shared" si="15"/>
        <v>2033</v>
      </c>
      <c r="N230" s="182">
        <f t="shared" si="15"/>
        <v>2034</v>
      </c>
    </row>
    <row r="231" spans="2:14">
      <c r="B231" t="s">
        <v>26</v>
      </c>
      <c r="E231" s="30">
        <f>DCF!E14</f>
        <v>1573.9792649623953</v>
      </c>
      <c r="F231" s="30">
        <f>DCF!F14</f>
        <v>1777.3452978100063</v>
      </c>
      <c r="G231" s="30">
        <f>DCF!G14</f>
        <v>1984.1988011537735</v>
      </c>
      <c r="H231" s="30">
        <f>DCF!H14</f>
        <v>2176.5186509373907</v>
      </c>
      <c r="I231" s="30">
        <f>DCF!I14</f>
        <v>2368.5591726166485</v>
      </c>
      <c r="J231" s="30">
        <f>DCF!J14</f>
        <v>2473.9156981660631</v>
      </c>
      <c r="K231" s="30">
        <f>DCF!K14</f>
        <v>2591.702831900287</v>
      </c>
      <c r="L231" s="30">
        <f>DCF!L14</f>
        <v>2699.4842076301106</v>
      </c>
      <c r="M231" s="30">
        <f>DCF!M14</f>
        <v>2837.5638461861913</v>
      </c>
      <c r="N231" s="30">
        <f>DCF!N14</f>
        <v>3199.9000264618171</v>
      </c>
    </row>
    <row r="232" spans="2:14">
      <c r="B232" t="s">
        <v>34</v>
      </c>
      <c r="E232" s="30">
        <f>-DCF!E17</f>
        <v>-317.61552154135643</v>
      </c>
      <c r="F232" s="30">
        <f>-DCF!F17</f>
        <v>-358.65304346082962</v>
      </c>
      <c r="G232" s="30">
        <f>-DCF!G17</f>
        <v>-400.39430702744784</v>
      </c>
      <c r="H232" s="30">
        <f>-DCF!H17</f>
        <v>-439.20280390636844</v>
      </c>
      <c r="I232" s="30">
        <f>-DCF!I17</f>
        <v>-477.95493476858087</v>
      </c>
      <c r="J232" s="30">
        <f>-DCF!J17</f>
        <v>-499.21497837592926</v>
      </c>
      <c r="K232" s="30">
        <f>-DCF!K17</f>
        <v>-522.98341214417883</v>
      </c>
      <c r="L232" s="30">
        <f>-DCF!L17</f>
        <v>-544.73276972907115</v>
      </c>
      <c r="M232" s="30">
        <f>-DCF!M17</f>
        <v>-572.59605699752115</v>
      </c>
      <c r="N232" s="30">
        <f>-DCF!N17</f>
        <v>-645.71239177610926</v>
      </c>
    </row>
    <row r="233" spans="2:14">
      <c r="B233" s="167" t="s">
        <v>176</v>
      </c>
      <c r="C233" s="161"/>
      <c r="D233" s="161"/>
      <c r="E233" s="168">
        <f>DCF!E20</f>
        <v>1256.3637434210389</v>
      </c>
      <c r="F233" s="168">
        <f>DCF!F20</f>
        <v>1418.6922543491767</v>
      </c>
      <c r="G233" s="168">
        <f>DCF!G20</f>
        <v>1583.8044941263256</v>
      </c>
      <c r="H233" s="168">
        <f>DCF!H20</f>
        <v>1737.3158470310223</v>
      </c>
      <c r="I233" s="168">
        <f>DCF!I20</f>
        <v>1890.6042378480677</v>
      </c>
      <c r="J233" s="168">
        <f>DCF!J20</f>
        <v>1974.7007197901344</v>
      </c>
      <c r="K233" s="168">
        <f>DCF!K20</f>
        <v>2068.7194197561075</v>
      </c>
      <c r="L233" s="168">
        <f>DCF!L20</f>
        <v>2154.7514379010399</v>
      </c>
      <c r="M233" s="168">
        <f>DCF!M20</f>
        <v>2264.9677891886686</v>
      </c>
      <c r="N233" s="168">
        <f>DCF!N20</f>
        <v>2554.1876346857093</v>
      </c>
    </row>
    <row r="234" spans="2:14">
      <c r="B234" t="s">
        <v>175</v>
      </c>
      <c r="E234" s="30">
        <f>DCF!E23</f>
        <v>598.54061865644621</v>
      </c>
      <c r="F234" s="30">
        <f>DCF!F23</f>
        <v>640.68502700231011</v>
      </c>
      <c r="G234" s="30">
        <f>DCF!G23</f>
        <v>684.13744034579736</v>
      </c>
      <c r="H234" s="30">
        <f>DCF!H23</f>
        <v>694.98904609332044</v>
      </c>
      <c r="I234" s="30">
        <f>DCF!I23</f>
        <v>661.23679535512224</v>
      </c>
      <c r="J234" s="30">
        <f>DCF!J23</f>
        <v>706.51366484037908</v>
      </c>
      <c r="K234" s="30">
        <f>DCF!K23</f>
        <v>729.64321335998159</v>
      </c>
      <c r="L234" s="30">
        <f>DCF!L23</f>
        <v>751.04450449164824</v>
      </c>
      <c r="M234" s="30">
        <f>DCF!M23</f>
        <v>728.48744035258608</v>
      </c>
      <c r="N234" s="30">
        <f>DCF!N23</f>
        <v>466.22567676479241</v>
      </c>
    </row>
    <row r="235" spans="2:14">
      <c r="B235" t="s">
        <v>404</v>
      </c>
      <c r="E235" s="30">
        <f>DCF!E24</f>
        <v>-0.62103703372390129</v>
      </c>
      <c r="F235" s="30">
        <f>DCF!F24</f>
        <v>2.2911886393635044</v>
      </c>
      <c r="G235" s="30">
        <f>DCF!G24</f>
        <v>3.0543597965541807</v>
      </c>
      <c r="H235" s="30">
        <f>DCF!H24</f>
        <v>2.9775481798405465</v>
      </c>
      <c r="I235" s="30">
        <f>DCF!I24</f>
        <v>2.8555237553097399</v>
      </c>
      <c r="J235" s="30">
        <f>DCF!J24</f>
        <v>2.7174296320706475</v>
      </c>
      <c r="K235" s="30">
        <f>DCF!K24</f>
        <v>2.5421399280118919</v>
      </c>
      <c r="L235" s="30">
        <f>DCF!L24</f>
        <v>2.3304580421793304</v>
      </c>
      <c r="M235" s="30">
        <f>DCF!M24</f>
        <v>2.0840296855928315</v>
      </c>
      <c r="N235" s="30">
        <f>DCF!N24</f>
        <v>1.8053445934556009</v>
      </c>
    </row>
    <row r="236" spans="2:14">
      <c r="B236" s="28" t="s">
        <v>405</v>
      </c>
      <c r="E236" s="30">
        <f>SUM(DCF!E25:E31)</f>
        <v>-79.385429333441152</v>
      </c>
      <c r="F236" s="30">
        <f>SUM(DCF!F25:F31)</f>
        <v>19.417869070151539</v>
      </c>
      <c r="G236" s="30">
        <f>SUM(DCF!G25:G31)</f>
        <v>41.291914870489165</v>
      </c>
      <c r="H236" s="30">
        <f>SUM(DCF!H25:H31)</f>
        <v>-120.74212224446484</v>
      </c>
      <c r="I236" s="30">
        <f>SUM(DCF!I25:I31)</f>
        <v>-115.79392759113875</v>
      </c>
      <c r="J236" s="30">
        <f>SUM(DCF!J25:J31)</f>
        <v>-110.19409292775066</v>
      </c>
      <c r="K236" s="30">
        <f>SUM(DCF!K25:K31)</f>
        <v>-103.08594568803471</v>
      </c>
      <c r="L236" s="30">
        <f>SUM(DCF!L25:L31)</f>
        <v>-94.502064389595034</v>
      </c>
      <c r="M236" s="30">
        <f>SUM(DCF!M25:M31)</f>
        <v>-84.509184020128714</v>
      </c>
      <c r="N236" s="30">
        <f>SUM(DCF!N25:N31)</f>
        <v>-73.208265468964896</v>
      </c>
    </row>
    <row r="237" spans="2:14">
      <c r="B237" t="s">
        <v>399</v>
      </c>
      <c r="E237" s="116">
        <f>DCF!E33</f>
        <v>-498.20841467836948</v>
      </c>
      <c r="F237" s="116">
        <f>DCF!F33</f>
        <v>-522.68374183815627</v>
      </c>
      <c r="G237" s="116">
        <f>DCF!G33</f>
        <v>-555.31154646323989</v>
      </c>
      <c r="H237" s="116">
        <f>DCF!H33</f>
        <v>-587.11882089869209</v>
      </c>
      <c r="I237" s="116">
        <f>DCF!I33</f>
        <v>-576.64831766343764</v>
      </c>
      <c r="J237" s="116">
        <f>DCF!J33</f>
        <v>-597.7342990453667</v>
      </c>
      <c r="K237" s="116">
        <f>DCF!K33</f>
        <v>-565.62111860607047</v>
      </c>
      <c r="L237" s="116">
        <f>DCF!L33</f>
        <v>-526.74438882779054</v>
      </c>
      <c r="M237" s="116">
        <f>DCF!M33</f>
        <v>-481.46511971434245</v>
      </c>
      <c r="N237" s="116">
        <f>DCF!N33</f>
        <v>-430.2964440406821</v>
      </c>
    </row>
    <row r="238" spans="2:14">
      <c r="B238" t="s">
        <v>406</v>
      </c>
      <c r="E238" s="116">
        <f>DCF!E36</f>
        <v>-25.047569614085607</v>
      </c>
      <c r="F238" s="116">
        <f>DCF!F36</f>
        <v>-26.36748855943792</v>
      </c>
      <c r="G238" s="116">
        <f>DCF!G36</f>
        <v>-28.127058807007874</v>
      </c>
      <c r="H238" s="116">
        <f>DCF!H36</f>
        <v>-29.842379049850308</v>
      </c>
      <c r="I238" s="116">
        <f>DCF!I36</f>
        <v>-31.487402876689796</v>
      </c>
      <c r="J238" s="116">
        <f>DCF!J36</f>
        <v>-33.052872778385989</v>
      </c>
      <c r="K238" s="116">
        <f>DCF!K36</f>
        <v>-34.517360946261853</v>
      </c>
      <c r="L238" s="116">
        <f>DCF!L36</f>
        <v>-35.859902397617724</v>
      </c>
      <c r="M238" s="116">
        <f>DCF!M36</f>
        <v>-37.060480218854984</v>
      </c>
      <c r="N238" s="116">
        <f>DCF!N36</f>
        <v>-38.100511794977585</v>
      </c>
    </row>
    <row r="239" spans="2:14">
      <c r="B239" s="28" t="s">
        <v>407</v>
      </c>
      <c r="E239" s="116">
        <f>DCF!E39</f>
        <v>-253.78019999999998</v>
      </c>
      <c r="F239" s="116">
        <f>DCF!F39</f>
        <v>-317.03763201694773</v>
      </c>
      <c r="G239" s="116">
        <f>DCF!G39</f>
        <v>-333.74440170902511</v>
      </c>
      <c r="H239" s="116">
        <f>DCF!H39</f>
        <v>-356.01602299811589</v>
      </c>
      <c r="I239" s="116">
        <f>DCF!I39</f>
        <v>-377.72755335097219</v>
      </c>
      <c r="J239" s="116">
        <f>DCF!J39</f>
        <v>-341.38546117991785</v>
      </c>
      <c r="K239" s="116">
        <f>DCF!K39</f>
        <v>-298.63186507102751</v>
      </c>
      <c r="L239" s="116">
        <f>DCF!L39</f>
        <v>-218.30443489973592</v>
      </c>
      <c r="M239" s="116">
        <f>DCF!M39</f>
        <v>-97.197991890753784</v>
      </c>
      <c r="N239" s="116">
        <f>DCF!N39</f>
        <v>0</v>
      </c>
    </row>
    <row r="240" spans="2:14">
      <c r="B240" s="167" t="s">
        <v>179</v>
      </c>
      <c r="C240" s="161"/>
      <c r="D240" s="161"/>
      <c r="E240" s="168">
        <f>DCF!E42</f>
        <v>997.86171141786485</v>
      </c>
      <c r="F240" s="168">
        <f>DCF!F42</f>
        <v>1214.99747664646</v>
      </c>
      <c r="G240" s="168">
        <f>DCF!G42</f>
        <v>1395.1052021598932</v>
      </c>
      <c r="H240" s="168">
        <f>DCF!H42</f>
        <v>1341.5630961130603</v>
      </c>
      <c r="I240" s="168">
        <f>DCF!I42</f>
        <v>1453.0393554762613</v>
      </c>
      <c r="J240" s="168">
        <f>DCF!J42</f>
        <v>1601.565088331163</v>
      </c>
      <c r="K240" s="168">
        <f>DCF!K42</f>
        <v>1799.0484827327066</v>
      </c>
      <c r="L240" s="168">
        <f>DCF!L42</f>
        <v>2032.7156099201288</v>
      </c>
      <c r="M240" s="168">
        <f>DCF!M42</f>
        <v>2295.3064833827675</v>
      </c>
      <c r="N240" s="168">
        <f>DCF!N42</f>
        <v>2480.6134347393327</v>
      </c>
    </row>
    <row r="241" spans="1:10">
      <c r="B241" s="29"/>
    </row>
    <row r="242" spans="1:10">
      <c r="B242" s="29"/>
    </row>
    <row r="243" spans="1:10">
      <c r="B243" s="3" t="s">
        <v>408</v>
      </c>
    </row>
    <row r="245" spans="1:10">
      <c r="A245" t="s">
        <v>0</v>
      </c>
      <c r="B245" s="180" t="s">
        <v>182</v>
      </c>
      <c r="C245" s="181"/>
      <c r="D245" s="181"/>
      <c r="E245" s="183">
        <v>45986</v>
      </c>
    </row>
    <row r="246" spans="1:10">
      <c r="B246" s="3" t="s">
        <v>213</v>
      </c>
      <c r="E246" s="48">
        <f>DCF!C90</f>
        <v>34952.149180816035</v>
      </c>
    </row>
    <row r="247" spans="1:10">
      <c r="B247" s="29" t="s">
        <v>214</v>
      </c>
      <c r="E247" s="48">
        <f>DCF!C91</f>
        <v>520.4</v>
      </c>
    </row>
    <row r="248" spans="1:10">
      <c r="B248" s="29" t="s">
        <v>215</v>
      </c>
      <c r="E248" s="48">
        <f>DCF!C92</f>
        <v>84.600000000000009</v>
      </c>
    </row>
    <row r="249" spans="1:10">
      <c r="B249" s="29" t="s">
        <v>216</v>
      </c>
      <c r="E249" s="48">
        <f>DCF!C93</f>
        <v>30</v>
      </c>
    </row>
    <row r="250" spans="1:10">
      <c r="B250" s="29" t="s">
        <v>217</v>
      </c>
      <c r="E250" s="48">
        <f>DCF!C94</f>
        <v>61.1</v>
      </c>
    </row>
    <row r="251" spans="1:10">
      <c r="B251" s="29" t="s">
        <v>218</v>
      </c>
      <c r="E251" s="48">
        <f>DCF!C95</f>
        <v>136.80000000000001</v>
      </c>
    </row>
    <row r="252" spans="1:10">
      <c r="B252" s="29" t="s">
        <v>219</v>
      </c>
      <c r="E252" s="48">
        <f>DCF!C96</f>
        <v>3.1</v>
      </c>
      <c r="J252" s="29"/>
    </row>
    <row r="253" spans="1:10">
      <c r="B253" s="29" t="s">
        <v>220</v>
      </c>
      <c r="E253" s="48">
        <f>DCF!C97</f>
        <v>20.3</v>
      </c>
      <c r="J253" s="29"/>
    </row>
    <row r="254" spans="1:10">
      <c r="B254" s="29" t="s">
        <v>221</v>
      </c>
      <c r="E254" s="48">
        <f>DCF!C98</f>
        <v>1073.8</v>
      </c>
      <c r="J254" s="29"/>
    </row>
    <row r="255" spans="1:10">
      <c r="B255" s="29" t="s">
        <v>222</v>
      </c>
      <c r="E255" s="48">
        <f>DCF!C99</f>
        <v>434.2</v>
      </c>
      <c r="J255" s="29"/>
    </row>
    <row r="256" spans="1:10">
      <c r="B256" s="29" t="s">
        <v>223</v>
      </c>
      <c r="E256" s="48">
        <f>DCF!C100</f>
        <v>4680</v>
      </c>
      <c r="J256" s="29"/>
    </row>
    <row r="257" spans="2:10">
      <c r="B257" s="29" t="s">
        <v>224</v>
      </c>
      <c r="E257" s="48">
        <f>DCF!C101</f>
        <v>27.3</v>
      </c>
      <c r="J257" s="29"/>
    </row>
    <row r="258" spans="2:10">
      <c r="B258" s="29" t="s">
        <v>225</v>
      </c>
      <c r="E258" s="48">
        <f>DCF!C102</f>
        <v>11.1</v>
      </c>
      <c r="J258" s="29"/>
    </row>
    <row r="259" spans="2:10">
      <c r="B259" s="29" t="s">
        <v>226</v>
      </c>
      <c r="E259" s="48">
        <f>DCF!C103</f>
        <v>345.9</v>
      </c>
      <c r="J259" s="29"/>
    </row>
    <row r="260" spans="2:10">
      <c r="B260" s="29" t="s">
        <v>227</v>
      </c>
      <c r="E260" s="48">
        <f>DCF!C104</f>
        <v>308.7</v>
      </c>
      <c r="J260" s="29"/>
    </row>
    <row r="261" spans="2:10">
      <c r="B261" s="29" t="s">
        <v>228</v>
      </c>
      <c r="E261" s="48">
        <f>DCF!C105</f>
        <v>171.5</v>
      </c>
      <c r="J261" s="29"/>
    </row>
    <row r="262" spans="2:10">
      <c r="B262" s="3" t="s">
        <v>229</v>
      </c>
      <c r="E262" s="48">
        <f>DCF!C106</f>
        <v>28715.349180816032</v>
      </c>
      <c r="J262" s="29"/>
    </row>
    <row r="263" spans="2:10">
      <c r="B263" s="29" t="s">
        <v>409</v>
      </c>
      <c r="E263" s="86">
        <f>DCF!C107</f>
        <v>160.47929300000001</v>
      </c>
      <c r="J263" s="29"/>
    </row>
    <row r="264" spans="2:10">
      <c r="B264" s="175" t="s">
        <v>68</v>
      </c>
      <c r="E264" s="86">
        <f>DCF!C108</f>
        <v>3.4778000000000003E-2</v>
      </c>
      <c r="J264" s="29"/>
    </row>
    <row r="265" spans="2:10">
      <c r="B265" s="29" t="s">
        <v>410</v>
      </c>
      <c r="E265" s="86">
        <f>DCF!C109</f>
        <v>160.44451500000002</v>
      </c>
      <c r="J265" s="29"/>
    </row>
    <row r="266" spans="2:10">
      <c r="B266" s="3" t="s">
        <v>233</v>
      </c>
      <c r="E266" s="86">
        <f>DCF!C110</f>
        <v>178.973704279115</v>
      </c>
      <c r="J266" s="29"/>
    </row>
    <row r="267" spans="2:10">
      <c r="J267" s="29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4CE1-B26C-46F4-A0BC-6A54B42F18D9}">
  <dimension ref="A2:V77"/>
  <sheetViews>
    <sheetView showGridLines="0" topLeftCell="A4" zoomScale="70" zoomScaleNormal="70" workbookViewId="0">
      <selection activeCell="L77" sqref="L77"/>
    </sheetView>
  </sheetViews>
  <sheetFormatPr defaultRowHeight="14.45"/>
  <cols>
    <col min="2" max="2" width="33.42578125" bestFit="1" customWidth="1"/>
    <col min="9" max="9" width="11.140625" bestFit="1" customWidth="1"/>
    <col min="12" max="12" width="9.5703125" bestFit="1" customWidth="1"/>
  </cols>
  <sheetData>
    <row r="2" spans="1:22">
      <c r="A2" t="s">
        <v>0</v>
      </c>
      <c r="B2" s="200" t="s">
        <v>352</v>
      </c>
      <c r="C2" s="208">
        <f>2015</f>
        <v>2015</v>
      </c>
      <c r="D2" s="208">
        <f>C2+1</f>
        <v>2016</v>
      </c>
      <c r="E2" s="208">
        <f t="shared" ref="E2:L2" si="0">D2+1</f>
        <v>2017</v>
      </c>
      <c r="F2" s="208">
        <f t="shared" si="0"/>
        <v>2018</v>
      </c>
      <c r="G2" s="208">
        <f t="shared" si="0"/>
        <v>2019</v>
      </c>
      <c r="H2" s="208">
        <f t="shared" si="0"/>
        <v>2020</v>
      </c>
      <c r="I2" s="208">
        <f t="shared" si="0"/>
        <v>2021</v>
      </c>
      <c r="J2" s="208">
        <f t="shared" si="0"/>
        <v>2022</v>
      </c>
      <c r="K2" s="208">
        <f t="shared" si="0"/>
        <v>2023</v>
      </c>
      <c r="L2" s="208">
        <f t="shared" si="0"/>
        <v>2024</v>
      </c>
      <c r="M2" s="208">
        <f t="shared" ref="M2" si="1">L2+1</f>
        <v>2025</v>
      </c>
      <c r="N2" s="208">
        <f t="shared" ref="N2" si="2">M2+1</f>
        <v>2026</v>
      </c>
      <c r="O2" s="208">
        <f t="shared" ref="O2" si="3">N2+1</f>
        <v>2027</v>
      </c>
      <c r="P2" s="208">
        <f t="shared" ref="P2" si="4">O2+1</f>
        <v>2028</v>
      </c>
      <c r="Q2" s="208">
        <f t="shared" ref="Q2" si="5">P2+1</f>
        <v>2029</v>
      </c>
      <c r="R2" s="208">
        <f t="shared" ref="R2" si="6">Q2+1</f>
        <v>2030</v>
      </c>
      <c r="S2" s="208">
        <f t="shared" ref="S2" si="7">R2+1</f>
        <v>2031</v>
      </c>
      <c r="T2" s="208">
        <f t="shared" ref="T2" si="8">S2+1</f>
        <v>2032</v>
      </c>
      <c r="U2" s="208">
        <f t="shared" ref="U2" si="9">T2+1</f>
        <v>2033</v>
      </c>
      <c r="V2" s="208">
        <f t="shared" ref="V2" si="10">U2+1</f>
        <v>2034</v>
      </c>
    </row>
    <row r="3" spans="1:22">
      <c r="B3" t="s">
        <v>411</v>
      </c>
      <c r="C3" s="30">
        <v>5489.2</v>
      </c>
      <c r="D3" s="30">
        <v>5747.7</v>
      </c>
      <c r="E3" s="30">
        <v>6248.3</v>
      </c>
      <c r="F3" s="30">
        <v>7085.4</v>
      </c>
      <c r="G3" s="30">
        <v>8109.2</v>
      </c>
      <c r="H3" s="30">
        <v>7877.5</v>
      </c>
      <c r="I3" s="30">
        <v>9252.2999999999993</v>
      </c>
      <c r="J3" s="30">
        <v>10491.8</v>
      </c>
      <c r="K3" s="30">
        <v>11238.6</v>
      </c>
      <c r="L3" s="30">
        <v>11763.1</v>
      </c>
      <c r="M3" s="30">
        <f>'3-Statement Model'!J24</f>
        <v>11315.207727181467</v>
      </c>
      <c r="N3" s="30">
        <f>'3-Statement Model'!K24</f>
        <v>11911.479432572989</v>
      </c>
      <c r="O3" s="30">
        <f>'3-Statement Model'!L24</f>
        <v>12706.363054759859</v>
      </c>
      <c r="P3" s="30">
        <f>'3-Statement Model'!M24</f>
        <v>13481.256793571414</v>
      </c>
      <c r="Q3" s="30">
        <f>'3-Statement Model'!N24</f>
        <v>14224.394215829911</v>
      </c>
      <c r="R3" s="30">
        <f>'3-Statement Model'!O24</f>
        <v>14931.593253551375</v>
      </c>
      <c r="S3" s="30">
        <f>'3-Statement Model'!P24</f>
        <v>15593.173921409709</v>
      </c>
      <c r="T3" s="30">
        <f>'3-Statement Model'!Q24</f>
        <v>16199.665315125631</v>
      </c>
      <c r="U3" s="30">
        <f>'3-Statement Model'!R24</f>
        <v>16742.024819430873</v>
      </c>
      <c r="V3" s="30">
        <f>'3-Statement Model'!S24</f>
        <v>17211.857761627281</v>
      </c>
    </row>
    <row r="4" spans="1:22">
      <c r="B4" t="s">
        <v>4</v>
      </c>
      <c r="C4" s="90">
        <f>(C3-5571.3)/5571.3</f>
        <v>-1.4736237502916799E-2</v>
      </c>
      <c r="D4" s="90">
        <f>(D3-C3)/C3</f>
        <v>4.7092472491437734E-2</v>
      </c>
      <c r="E4" s="90">
        <f t="shared" ref="E4:L4" si="11">(E3-D3)/D3</f>
        <v>8.7095707848356796E-2</v>
      </c>
      <c r="F4" s="90">
        <f t="shared" si="11"/>
        <v>0.13397244050381696</v>
      </c>
      <c r="G4" s="90">
        <f t="shared" si="11"/>
        <v>0.14449431224772069</v>
      </c>
      <c r="H4" s="90">
        <f t="shared" si="11"/>
        <v>-2.8572485571942956E-2</v>
      </c>
      <c r="I4" s="90">
        <f t="shared" si="11"/>
        <v>0.17452237384957148</v>
      </c>
      <c r="J4" s="90">
        <f t="shared" si="11"/>
        <v>0.1339666893637258</v>
      </c>
      <c r="K4" s="90">
        <f t="shared" si="11"/>
        <v>7.1179397243561746E-2</v>
      </c>
      <c r="L4" s="90">
        <f t="shared" si="11"/>
        <v>4.6669513996405246E-2</v>
      </c>
      <c r="M4" s="90">
        <f>'3-Statement Model'!J25</f>
        <v>-3.807604056911288E-2</v>
      </c>
      <c r="N4" s="90">
        <f>'3-Statement Model'!K25</f>
        <v>5.2696487750653866E-2</v>
      </c>
      <c r="O4" s="90">
        <f>'3-Statement Model'!L25</f>
        <v>6.6732568921135896E-2</v>
      </c>
      <c r="P4" s="90">
        <f>'3-Statement Model'!M25</f>
        <v>6.0984699986301509E-2</v>
      </c>
      <c r="Q4" s="90">
        <f>'3-Statement Model'!N25</f>
        <v>5.5123749486981372E-2</v>
      </c>
      <c r="R4" s="90">
        <f>'3-Statement Model'!O25</f>
        <v>4.971733959218054E-2</v>
      </c>
      <c r="S4" s="90">
        <f>'3-Statement Model'!P25</f>
        <v>4.4307439710158304E-2</v>
      </c>
      <c r="T4" s="90">
        <f>'3-Statement Model'!Q25</f>
        <v>3.8894672551763057E-2</v>
      </c>
      <c r="U4" s="90">
        <f>'3-Statement Model'!R25</f>
        <v>3.3479673422563964E-2</v>
      </c>
      <c r="V4" s="90">
        <f>'3-Statement Model'!S25</f>
        <v>2.8063089576304878E-2</v>
      </c>
    </row>
    <row r="5" spans="1:22">
      <c r="B5" t="s">
        <v>412</v>
      </c>
      <c r="C5" s="90">
        <v>6.2E-2</v>
      </c>
      <c r="D5" s="90">
        <v>5.5E-2</v>
      </c>
      <c r="E5" s="90">
        <v>0.09</v>
      </c>
      <c r="F5" s="90">
        <v>0.13600000000000001</v>
      </c>
      <c r="G5" s="90">
        <v>0.16300000000000001</v>
      </c>
      <c r="H5" s="90">
        <v>3.4000000000000002E-2</v>
      </c>
      <c r="I5" s="90">
        <v>0.17100000000000001</v>
      </c>
      <c r="J5" s="90">
        <v>0.158</v>
      </c>
      <c r="K5" s="90">
        <v>0.14499999999999999</v>
      </c>
      <c r="L5" s="90">
        <v>7.3999999999999996E-2</v>
      </c>
      <c r="M5" s="90"/>
    </row>
    <row r="7" spans="1:22">
      <c r="B7" t="s">
        <v>413</v>
      </c>
      <c r="C7" s="30">
        <v>2970.8</v>
      </c>
      <c r="D7" s="30">
        <v>3181.1</v>
      </c>
      <c r="E7" s="30">
        <v>3399.1</v>
      </c>
      <c r="F7" s="30">
        <v>3751.7</v>
      </c>
      <c r="G7" s="30">
        <v>4334</v>
      </c>
      <c r="H7" s="30">
        <v>4314.8</v>
      </c>
      <c r="I7" s="30">
        <v>4791.3</v>
      </c>
      <c r="J7" s="30">
        <v>5179.8</v>
      </c>
      <c r="K7" s="30">
        <v>6024.8</v>
      </c>
      <c r="L7" s="30">
        <v>6416</v>
      </c>
      <c r="M7" s="30">
        <f>'3-Statement Model'!J32</f>
        <v>6223.3642499498064</v>
      </c>
      <c r="N7" s="30">
        <f>'3-Statement Model'!K32</f>
        <v>6551.3136879151434</v>
      </c>
      <c r="O7" s="30">
        <f>'3-Statement Model'!L32</f>
        <v>6988.4996801179223</v>
      </c>
      <c r="P7" s="30">
        <f>'3-Statement Model'!M32</f>
        <v>7414.6912364642776</v>
      </c>
      <c r="Q7" s="30">
        <f>'3-Statement Model'!N32</f>
        <v>7823.4168187064506</v>
      </c>
      <c r="R7" s="30">
        <f>'3-Statement Model'!O32</f>
        <v>8212.3762894532556</v>
      </c>
      <c r="S7" s="30">
        <f>'3-Statement Model'!P32</f>
        <v>8576.2456567753397</v>
      </c>
      <c r="T7" s="30">
        <f>'3-Statement Model'!Q32</f>
        <v>8909.8159233190963</v>
      </c>
      <c r="U7" s="30">
        <f>'3-Statement Model'!R32</f>
        <v>9208.1136506869807</v>
      </c>
      <c r="V7" s="30">
        <f>'3-Statement Model'!S32</f>
        <v>9466.5217688950033</v>
      </c>
    </row>
    <row r="8" spans="1:22">
      <c r="B8" t="s">
        <v>414</v>
      </c>
      <c r="C8" s="90">
        <f>C7/C3</f>
        <v>0.54120819062887127</v>
      </c>
      <c r="D8" s="90">
        <f t="shared" ref="D8:V8" si="12">D7/D3</f>
        <v>0.5534561650747255</v>
      </c>
      <c r="E8" s="90">
        <f t="shared" si="12"/>
        <v>0.54400396907958959</v>
      </c>
      <c r="F8" s="90">
        <f t="shared" si="12"/>
        <v>0.52949727608885877</v>
      </c>
      <c r="G8" s="90">
        <f t="shared" si="12"/>
        <v>0.53445469343461749</v>
      </c>
      <c r="H8" s="90">
        <f t="shared" si="12"/>
        <v>0.54773722627737231</v>
      </c>
      <c r="I8" s="90">
        <f t="shared" si="12"/>
        <v>0.51784961577121369</v>
      </c>
      <c r="J8" s="90">
        <f t="shared" si="12"/>
        <v>0.49369984178120063</v>
      </c>
      <c r="K8" s="90">
        <f t="shared" si="12"/>
        <v>0.53608100653106261</v>
      </c>
      <c r="L8" s="90">
        <f t="shared" si="12"/>
        <v>0.54543445180267103</v>
      </c>
      <c r="M8" s="90">
        <f t="shared" si="12"/>
        <v>0.54999999999999993</v>
      </c>
      <c r="N8" s="90">
        <f t="shared" si="12"/>
        <v>0.54999999999999993</v>
      </c>
      <c r="O8" s="90">
        <f t="shared" si="12"/>
        <v>0.55000000000000004</v>
      </c>
      <c r="P8" s="90">
        <f t="shared" si="12"/>
        <v>0.54999999999999993</v>
      </c>
      <c r="Q8" s="90">
        <f t="shared" si="12"/>
        <v>0.54999999999999993</v>
      </c>
      <c r="R8" s="90">
        <f t="shared" si="12"/>
        <v>0.54999999999999993</v>
      </c>
      <c r="S8" s="90">
        <f t="shared" si="12"/>
        <v>0.55000000000000004</v>
      </c>
      <c r="T8" s="90">
        <f t="shared" si="12"/>
        <v>0.54999999999999993</v>
      </c>
      <c r="U8" s="90">
        <f t="shared" si="12"/>
        <v>0.55000000000000004</v>
      </c>
      <c r="V8" s="90">
        <f t="shared" si="12"/>
        <v>0.54999999999999993</v>
      </c>
    </row>
    <row r="10" spans="1:22">
      <c r="B10" t="s">
        <v>21</v>
      </c>
      <c r="C10" s="30">
        <v>837.3</v>
      </c>
      <c r="D10" s="30">
        <v>965.7</v>
      </c>
      <c r="E10" s="30">
        <v>1068.5</v>
      </c>
      <c r="F10" s="30">
        <v>1149.9000000000001</v>
      </c>
      <c r="G10" s="30">
        <v>1387.6</v>
      </c>
      <c r="H10" s="30">
        <v>1497.6</v>
      </c>
      <c r="I10" s="30">
        <v>1758</v>
      </c>
      <c r="J10" s="30">
        <v>1964.2</v>
      </c>
      <c r="K10" s="30">
        <v>2044.7</v>
      </c>
      <c r="L10" s="30">
        <v>2269.5</v>
      </c>
      <c r="M10" s="30">
        <f>'3-Statement Model'!J55</f>
        <v>2172.5198836188415</v>
      </c>
      <c r="N10" s="30">
        <f>'3-Statement Model'!K55</f>
        <v>2418.0303248123164</v>
      </c>
      <c r="O10" s="30">
        <f>'3-Statement Model'!L55</f>
        <v>2668.3362414995709</v>
      </c>
      <c r="P10" s="30">
        <f>'3-Statement Model'!M55</f>
        <v>2871.5076970307109</v>
      </c>
      <c r="Q10" s="30">
        <f>'3-Statement Model'!N55</f>
        <v>3029.7959679717706</v>
      </c>
      <c r="R10" s="30">
        <f>'3-Statement Model'!O55</f>
        <v>3180.4293630064421</v>
      </c>
      <c r="S10" s="30">
        <f>'3-Statement Model'!P55</f>
        <v>3321.3460452602685</v>
      </c>
      <c r="T10" s="30">
        <f>'3-Statement Model'!Q55</f>
        <v>3450.5287121217589</v>
      </c>
      <c r="U10" s="30">
        <f>'3-Statement Model'!R55</f>
        <v>3566.0512865387773</v>
      </c>
      <c r="V10" s="30">
        <f>'3-Statement Model'!S55</f>
        <v>3666.1257032266094</v>
      </c>
    </row>
    <row r="11" spans="1:22">
      <c r="B11" t="s">
        <v>415</v>
      </c>
      <c r="C11" s="90">
        <f>C10/C3</f>
        <v>0.15253588865408438</v>
      </c>
      <c r="D11" s="90">
        <f t="shared" ref="D11:V11" si="13">D10/D3</f>
        <v>0.16801503209979646</v>
      </c>
      <c r="E11" s="90">
        <f t="shared" si="13"/>
        <v>0.17100651377174592</v>
      </c>
      <c r="F11" s="90">
        <f t="shared" si="13"/>
        <v>0.16229147260563978</v>
      </c>
      <c r="G11" s="90">
        <f t="shared" si="13"/>
        <v>0.17111428994228778</v>
      </c>
      <c r="H11" s="90">
        <f t="shared" si="13"/>
        <v>0.19011107584893683</v>
      </c>
      <c r="I11" s="90">
        <f t="shared" si="13"/>
        <v>0.19000680911773291</v>
      </c>
      <c r="J11" s="90">
        <f t="shared" si="13"/>
        <v>0.1872128710040222</v>
      </c>
      <c r="K11" s="90">
        <f t="shared" si="13"/>
        <v>0.18193547238979943</v>
      </c>
      <c r="L11" s="90">
        <f t="shared" si="13"/>
        <v>0.19293383546854145</v>
      </c>
      <c r="M11" s="90">
        <f>M10/M3</f>
        <v>0.19199999999999998</v>
      </c>
      <c r="N11" s="90">
        <f t="shared" si="13"/>
        <v>0.20299999999999996</v>
      </c>
      <c r="O11" s="90">
        <f t="shared" si="13"/>
        <v>0.21000000000000005</v>
      </c>
      <c r="P11" s="90">
        <f t="shared" si="13"/>
        <v>0.21299999999999997</v>
      </c>
      <c r="Q11" s="90">
        <f t="shared" si="13"/>
        <v>0.21299999999999997</v>
      </c>
      <c r="R11" s="90">
        <f t="shared" si="13"/>
        <v>0.21299999999999997</v>
      </c>
      <c r="S11" s="90">
        <f t="shared" si="13"/>
        <v>0.21300000000000002</v>
      </c>
      <c r="T11" s="90">
        <f t="shared" si="13"/>
        <v>0.21299999999999997</v>
      </c>
      <c r="U11" s="90">
        <f t="shared" si="13"/>
        <v>0.21300000000000008</v>
      </c>
      <c r="V11" s="90">
        <f t="shared" si="13"/>
        <v>0.21299999999999991</v>
      </c>
    </row>
    <row r="12" spans="1:22">
      <c r="C12" s="90"/>
    </row>
    <row r="13" spans="1:22">
      <c r="B13" t="s">
        <v>26</v>
      </c>
      <c r="C13" s="30">
        <v>673.3</v>
      </c>
      <c r="D13" s="30">
        <v>795.3</v>
      </c>
      <c r="E13" s="30">
        <v>896.3</v>
      </c>
      <c r="F13" s="30">
        <v>945.9</v>
      </c>
      <c r="G13" s="30">
        <v>1055.0999999999999</v>
      </c>
      <c r="H13" s="30">
        <v>1130.5</v>
      </c>
      <c r="I13" s="30">
        <v>1391.4</v>
      </c>
      <c r="J13" s="30">
        <v>1579.7</v>
      </c>
      <c r="K13" s="30">
        <v>1549.1</v>
      </c>
      <c r="L13" s="30">
        <v>1713.9</v>
      </c>
    </row>
    <row r="14" spans="1:22">
      <c r="B14" t="s">
        <v>416</v>
      </c>
      <c r="C14" s="90">
        <f>C13/C3</f>
        <v>0.12265903956860744</v>
      </c>
      <c r="D14" s="90">
        <f t="shared" ref="D14:L14" si="14">D13/D3</f>
        <v>0.13836839083459471</v>
      </c>
      <c r="E14" s="90">
        <f t="shared" si="14"/>
        <v>0.14344701758878414</v>
      </c>
      <c r="F14" s="90">
        <f t="shared" si="14"/>
        <v>0.13349987297823696</v>
      </c>
      <c r="G14" s="90">
        <f t="shared" si="14"/>
        <v>0.13011147832091943</v>
      </c>
      <c r="H14" s="90">
        <f t="shared" si="14"/>
        <v>0.14350999682640431</v>
      </c>
      <c r="I14" s="90">
        <f t="shared" si="14"/>
        <v>0.15038422878635585</v>
      </c>
      <c r="J14" s="90">
        <f t="shared" si="14"/>
        <v>0.15056520330162604</v>
      </c>
      <c r="K14" s="90">
        <f t="shared" si="14"/>
        <v>0.13783745306354883</v>
      </c>
      <c r="L14" s="90">
        <f t="shared" si="14"/>
        <v>0.14570138823949469</v>
      </c>
    </row>
    <row r="16" spans="1:22">
      <c r="B16" t="s">
        <v>91</v>
      </c>
      <c r="C16" s="30">
        <f>135.6+7</f>
        <v>142.6</v>
      </c>
      <c r="D16" s="30">
        <f>149.5+5.4</f>
        <v>154.9</v>
      </c>
      <c r="E16" s="30">
        <f>158.5+4.9</f>
        <v>163.4</v>
      </c>
      <c r="F16" s="30">
        <f>233.4+5.2</f>
        <v>238.6</v>
      </c>
      <c r="G16" s="30">
        <f>179.7+12.6</f>
        <v>192.29999999999998</v>
      </c>
      <c r="H16" s="30">
        <f>120.1+11.6</f>
        <v>131.69999999999999</v>
      </c>
      <c r="I16" s="30">
        <f>157.3+13.5</f>
        <v>170.8</v>
      </c>
      <c r="J16" s="30">
        <f>238+28</f>
        <v>266</v>
      </c>
      <c r="K16" s="30">
        <f>256.8+23.1</f>
        <v>279.90000000000003</v>
      </c>
      <c r="L16" s="30">
        <f>331.1+27.9</f>
        <v>359</v>
      </c>
      <c r="M16" s="30">
        <f>'3-Statement Model'!J198+'3-Statement Model'!J203+'3-Statement Model'!J208</f>
        <v>523.25598429245508</v>
      </c>
      <c r="N16" s="30">
        <f>'3-Statement Model'!K198+'3-Statement Model'!K203+'3-Statement Model'!K208</f>
        <v>549.05123039759417</v>
      </c>
      <c r="O16" s="30">
        <f>'3-Statement Model'!L198+'3-Statement Model'!L203+'3-Statement Model'!L208</f>
        <v>583.43860527024776</v>
      </c>
      <c r="P16" s="30">
        <f>'3-Statement Model'!M198+'3-Statement Model'!M203+'3-Statement Model'!M208</f>
        <v>616.96119994854234</v>
      </c>
      <c r="Q16" s="30">
        <f>'3-Statement Model'!N198+'3-Statement Model'!N203+'3-Statement Model'!N208</f>
        <v>608.13572054012741</v>
      </c>
      <c r="R16" s="30">
        <f>'3-Statement Model'!O198+'3-Statement Model'!O203+'3-Statement Model'!O208</f>
        <v>630.78717182375271</v>
      </c>
      <c r="S16" s="30">
        <f>'3-Statement Model'!P198+'3-Statement Model'!P203+'3-Statement Model'!P208</f>
        <v>600.13847955233234</v>
      </c>
      <c r="T16" s="30">
        <f>'3-Statement Model'!Q198+'3-Statement Model'!Q203+'3-Statement Model'!Q208</f>
        <v>562.60429122540825</v>
      </c>
      <c r="U16" s="30">
        <f>'3-Statement Model'!R198+'3-Statement Model'!R203+'3-Statement Model'!R208</f>
        <v>518.52559993319744</v>
      </c>
      <c r="V16" s="30">
        <f>'3-Statement Model'!S198+'3-Statement Model'!S203+'3-Statement Model'!S208</f>
        <v>468.3969558356597</v>
      </c>
    </row>
    <row r="17" spans="2:22">
      <c r="B17" t="s">
        <v>417</v>
      </c>
      <c r="C17" s="90">
        <f>C16/C3</f>
        <v>2.597828463164031E-2</v>
      </c>
      <c r="D17" s="90">
        <f t="shared" ref="D17:L17" si="15">D16/D3</f>
        <v>2.6949910398942189E-2</v>
      </c>
      <c r="E17" s="90">
        <f t="shared" si="15"/>
        <v>2.615111310276395E-2</v>
      </c>
      <c r="F17" s="90">
        <f t="shared" si="15"/>
        <v>3.3674880740678016E-2</v>
      </c>
      <c r="G17" s="90">
        <f t="shared" si="15"/>
        <v>2.3713806540719182E-2</v>
      </c>
      <c r="H17" s="90">
        <f t="shared" si="15"/>
        <v>1.6718502062837193E-2</v>
      </c>
      <c r="I17" s="90">
        <f t="shared" si="15"/>
        <v>1.8460274742496462E-2</v>
      </c>
      <c r="J17" s="90">
        <f t="shared" si="15"/>
        <v>2.535313292285404E-2</v>
      </c>
      <c r="K17" s="90">
        <f t="shared" si="15"/>
        <v>2.4905237307137902E-2</v>
      </c>
      <c r="L17" s="90">
        <f t="shared" si="15"/>
        <v>3.0519165866140726E-2</v>
      </c>
      <c r="M17" s="90">
        <f>M16/'3-Statement Model'!J24</f>
        <v>4.6243603909761732E-2</v>
      </c>
      <c r="N17" s="90">
        <f>N16/'3-Statement Model'!K24</f>
        <v>4.6094293618655399E-2</v>
      </c>
      <c r="O17" s="90">
        <f>O16/'3-Statement Model'!L24</f>
        <v>4.5917041938423844E-2</v>
      </c>
      <c r="P17" s="90">
        <f>P16/'3-Statement Model'!M24</f>
        <v>4.5764368218454421E-2</v>
      </c>
      <c r="Q17" s="90">
        <f>Q16/'3-Statement Model'!N24</f>
        <v>4.2753013682885067E-2</v>
      </c>
      <c r="R17" s="90">
        <f>R16/'3-Statement Model'!O24</f>
        <v>4.2245134937206011E-2</v>
      </c>
      <c r="S17" s="90">
        <f>S16/'3-Statement Model'!P24</f>
        <v>3.8487256191526945E-2</v>
      </c>
      <c r="T17" s="90">
        <f>T16/'3-Statement Model'!Q24</f>
        <v>3.4729377445847878E-2</v>
      </c>
      <c r="U17" s="90">
        <f>U16/'3-Statement Model'!R24</f>
        <v>3.0971498700168822E-2</v>
      </c>
      <c r="V17" s="90">
        <f>V16/'3-Statement Model'!S24</f>
        <v>2.7213619954489763E-2</v>
      </c>
    </row>
    <row r="19" spans="2:22">
      <c r="B19" s="28" t="s">
        <v>418</v>
      </c>
      <c r="C19" s="30">
        <v>160.6</v>
      </c>
      <c r="D19" s="30">
        <v>161.4</v>
      </c>
      <c r="E19" s="30">
        <v>180.8</v>
      </c>
      <c r="F19" s="30">
        <v>189.5</v>
      </c>
      <c r="G19" s="30">
        <v>200.2</v>
      </c>
      <c r="H19" s="30">
        <v>193.6</v>
      </c>
      <c r="I19" s="30">
        <v>214.3</v>
      </c>
      <c r="J19" s="30">
        <v>232</v>
      </c>
      <c r="K19" s="30">
        <v>270.5</v>
      </c>
      <c r="L19" s="30">
        <v>278.10000000000002</v>
      </c>
    </row>
    <row r="20" spans="2:22">
      <c r="B20" s="28" t="s">
        <v>419</v>
      </c>
      <c r="C20" s="90">
        <f>C19/C3</f>
        <v>2.9257450994680464E-2</v>
      </c>
      <c r="D20" s="90">
        <f t="shared" ref="D20:L20" si="16">D19/D3</f>
        <v>2.8080797536405869E-2</v>
      </c>
      <c r="E20" s="90">
        <f t="shared" si="16"/>
        <v>2.8935870556791449E-2</v>
      </c>
      <c r="F20" s="90">
        <f t="shared" si="16"/>
        <v>2.6745137889180568E-2</v>
      </c>
      <c r="G20" s="90">
        <f t="shared" si="16"/>
        <v>2.4688008681497557E-2</v>
      </c>
      <c r="H20" s="90">
        <f t="shared" si="16"/>
        <v>2.4576324976198032E-2</v>
      </c>
      <c r="I20" s="90">
        <f t="shared" si="16"/>
        <v>2.3161808415204869E-2</v>
      </c>
      <c r="J20" s="90">
        <f t="shared" si="16"/>
        <v>2.2112506910158411E-2</v>
      </c>
      <c r="K20" s="90">
        <f t="shared" si="16"/>
        <v>2.4068834196430161E-2</v>
      </c>
      <c r="L20" s="90">
        <f t="shared" si="16"/>
        <v>2.364172709574857E-2</v>
      </c>
      <c r="M20" s="90"/>
    </row>
    <row r="21" spans="2:22">
      <c r="B21" t="s">
        <v>420</v>
      </c>
      <c r="C21">
        <v>70</v>
      </c>
      <c r="D21">
        <v>72</v>
      </c>
      <c r="E21">
        <v>74</v>
      </c>
      <c r="F21">
        <v>85</v>
      </c>
      <c r="G21">
        <v>93</v>
      </c>
      <c r="H21">
        <v>83</v>
      </c>
      <c r="I21">
        <v>99</v>
      </c>
      <c r="J21">
        <v>104</v>
      </c>
      <c r="K21">
        <v>108</v>
      </c>
      <c r="L21">
        <v>125</v>
      </c>
    </row>
    <row r="22" spans="2:22">
      <c r="B22" t="s">
        <v>421</v>
      </c>
      <c r="C22">
        <v>872</v>
      </c>
      <c r="D22">
        <v>896</v>
      </c>
      <c r="E22">
        <v>900</v>
      </c>
      <c r="F22">
        <v>900</v>
      </c>
      <c r="G22">
        <v>1100</v>
      </c>
      <c r="H22">
        <v>1085</v>
      </c>
      <c r="I22">
        <v>1240</v>
      </c>
      <c r="J22">
        <v>1334</v>
      </c>
      <c r="K22">
        <v>1780</v>
      </c>
      <c r="L22">
        <v>1840</v>
      </c>
    </row>
    <row r="23" spans="2:22">
      <c r="L23">
        <f>L19/L22</f>
        <v>0.15114130434782611</v>
      </c>
    </row>
    <row r="24" spans="2:22">
      <c r="B24" t="s">
        <v>335</v>
      </c>
      <c r="I24" s="105">
        <f>(('3-Statement Model'!E113+'3-Statement Model'!F113)/2)/('3-Statement Model'!F29/'3-Statement Model'!F107)</f>
        <v>80.68700963909437</v>
      </c>
      <c r="J24" s="105">
        <f>(('3-Statement Model'!F113+'3-Statement Model'!G113)/2)/('3-Statement Model'!G29/'3-Statement Model'!G107)</f>
        <v>81.461925828313241</v>
      </c>
      <c r="K24" s="105">
        <f>(('3-Statement Model'!G113+'3-Statement Model'!H113)/2)/('3-Statement Model'!H29/'3-Statement Model'!H107)</f>
        <v>85.880499827381186</v>
      </c>
      <c r="L24" s="105">
        <f>(('3-Statement Model'!H113+'3-Statement Model'!I113)/2)/('3-Statement Model'!I29/'3-Statement Model'!I107)</f>
        <v>88.384731910755363</v>
      </c>
      <c r="M24" s="105">
        <f>(('3-Statement Model'!J113+'3-Statement Model'!I113)/2)/'3-Statement Model'!J29*'3-Statement Model'!J107</f>
        <v>98.346782673264798</v>
      </c>
      <c r="N24" s="105">
        <f>(('3-Statement Model'!K113+'3-Statement Model'!J113)/2)/'3-Statement Model'!K29*'3-Statement Model'!K107</f>
        <v>94.997071170853189</v>
      </c>
      <c r="O24" s="105">
        <f>(('3-Statement Model'!L113+'3-Statement Model'!K113)/2)/'3-Statement Model'!L29*'3-Statement Model'!L107</f>
        <v>88.720864834942418</v>
      </c>
      <c r="P24" s="105">
        <f>(('3-Statement Model'!M113+'3-Statement Model'!L113)/2)/'3-Statement Model'!M29*'3-Statement Model'!M107</f>
        <v>85.844583895889215</v>
      </c>
      <c r="Q24" s="105">
        <f>(('3-Statement Model'!N113+'3-Statement Model'!M113)/2)/'3-Statement Model'!N29*'3-Statement Model'!N107</f>
        <v>86.075951626598467</v>
      </c>
      <c r="R24" s="105">
        <f>(('3-Statement Model'!O113+'3-Statement Model'!N113)/2)/'3-Statement Model'!O29*'3-Statement Model'!O107</f>
        <v>86.291666680034268</v>
      </c>
      <c r="S24" s="105">
        <f>(('3-Statement Model'!P113+'3-Statement Model'!O113)/2)/'3-Statement Model'!P29*'3-Statement Model'!P107</f>
        <v>86.509756672849761</v>
      </c>
      <c r="T24" s="105">
        <f>(('3-Statement Model'!Q113+'3-Statement Model'!P113)/2)/'3-Statement Model'!Q29*'3-Statement Model'!Q107</f>
        <v>86.730235407370472</v>
      </c>
      <c r="U24" s="105">
        <f>(('3-Statement Model'!R113+'3-Statement Model'!Q113)/2)/'3-Statement Model'!R29*'3-Statement Model'!R107</f>
        <v>86.953115965125122</v>
      </c>
      <c r="V24" s="105">
        <f>(('3-Statement Model'!S113+'3-Statement Model'!R113)/2)/'3-Statement Model'!S29*'3-Statement Model'!S107</f>
        <v>87.178410686922945</v>
      </c>
    </row>
    <row r="25" spans="2:22">
      <c r="B25" t="s">
        <v>334</v>
      </c>
      <c r="I25" s="105">
        <f>(('3-Statement Model'!E112+'3-Statement Model'!F112)/2)/(('3-Statement Model'!F24/'3-Statement Model'!F107))</f>
        <v>57.963371269846405</v>
      </c>
      <c r="J25" s="105">
        <f>(('3-Statement Model'!F112+'3-Statement Model'!G112)/2)/(('3-Statement Model'!G24/'3-Statement Model'!G107))</f>
        <v>57.339350731047091</v>
      </c>
      <c r="K25" s="105">
        <f>(('3-Statement Model'!G112+'3-Statement Model'!H112)/2)/(('3-Statement Model'!H24/'3-Statement Model'!H107))</f>
        <v>60.550780346306482</v>
      </c>
      <c r="L25" s="105">
        <f>(('3-Statement Model'!H112+'3-Statement Model'!I112)/2)/(('3-Statement Model'!I24/'3-Statement Model'!I107))</f>
        <v>64.916263569977303</v>
      </c>
      <c r="M25" s="105">
        <f>(('3-Statement Model'!I112+'3-Statement Model'!J112)/2)/(('3-Statement Model'!J24/'3-Statement Model'!J107))</f>
        <v>69.580001142751811</v>
      </c>
      <c r="N25" s="105">
        <f>(('3-Statement Model'!J112+'3-Statement Model'!K112)/2)/(('3-Statement Model'!K24/'3-Statement Model'!K107))</f>
        <v>66.272979107888702</v>
      </c>
      <c r="O25" s="105">
        <f>(('3-Statement Model'!K112+'3-Statement Model'!L112)/2)/(('3-Statement Model'!L24/'3-Statement Model'!L107))</f>
        <v>63.862441521102724</v>
      </c>
      <c r="P25" s="105">
        <f>(('3-Statement Model'!L112+'3-Statement Model'!M112)/2)/(('3-Statement Model'!M24/'3-Statement Model'!M107))</f>
        <v>63.050591587102403</v>
      </c>
      <c r="Q25" s="105">
        <f>(('3-Statement Model'!M112+'3-Statement Model'!N112)/2)/(('3-Statement Model'!N24/'3-Statement Model'!N107))</f>
        <v>63.220525106881311</v>
      </c>
      <c r="R25" s="105">
        <f>(('3-Statement Model'!N112+'3-Statement Model'!O112)/2)/(('3-Statement Model'!O24/'3-Statement Model'!O107))</f>
        <v>63.378962146425543</v>
      </c>
      <c r="S25" s="105">
        <f>(('3-Statement Model'!O112+'3-Statement Model'!P112)/2)/(('3-Statement Model'!P24/'3-Statement Model'!P107))</f>
        <v>63.539143516550411</v>
      </c>
      <c r="T25" s="105">
        <f>(('3-Statement Model'!P112+'3-Statement Model'!Q112)/2)/(('3-Statement Model'!Q24/'3-Statement Model'!Q107))</f>
        <v>63.70107935470142</v>
      </c>
      <c r="U25" s="105">
        <f>(('3-Statement Model'!Q112+'3-Statement Model'!R112)/2)/(('3-Statement Model'!R24/'3-Statement Model'!R107))</f>
        <v>63.864779268917765</v>
      </c>
      <c r="V25" s="105">
        <f>(('3-Statement Model'!R112+'3-Statement Model'!S112)/2)/(('3-Statement Model'!S24/'3-Statement Model'!S107))</f>
        <v>64.030252323199591</v>
      </c>
    </row>
    <row r="26" spans="2:22">
      <c r="B26" t="s">
        <v>336</v>
      </c>
      <c r="I26" s="105">
        <f>(('3-Statement Model'!E128+'3-Statement Model'!F128)/2)/(('3-Statement Model'!F32/'3-Statement Model'!F107))</f>
        <v>71.589912967253127</v>
      </c>
      <c r="J26" s="105">
        <f>(('3-Statement Model'!F128+'3-Statement Model'!G128)/2)/(('3-Statement Model'!G32/'3-Statement Model'!G107))</f>
        <v>72.220645584771603</v>
      </c>
      <c r="K26" s="105">
        <f>(('3-Statement Model'!G128+'3-Statement Model'!H128)/2)/(('3-Statement Model'!H32/'3-Statement Model'!H107))</f>
        <v>64.363298366750769</v>
      </c>
      <c r="L26" s="105">
        <f>(('3-Statement Model'!H128+'3-Statement Model'!I128)/2)/(('3-Statement Model'!I32/'3-Statement Model'!I107))</f>
        <v>66.005494077306764</v>
      </c>
      <c r="M26" s="105">
        <f>(('3-Statement Model'!I128+'3-Statement Model'!J128)/2)/(('3-Statement Model'!J32/'3-Statement Model'!J107))</f>
        <v>68.277939716077782</v>
      </c>
      <c r="N26" s="105">
        <f>(('3-Statement Model'!J128+'3-Statement Model'!K128)/2)/(('3-Statement Model'!K32/'3-Statement Model'!K107))</f>
        <v>63.489063190671217</v>
      </c>
      <c r="O26" s="105">
        <f>(('3-Statement Model'!K128+'3-Statement Model'!L128)/2)/(('3-Statement Model'!L32/'3-Statement Model'!L107))</f>
        <v>62.773261298312157</v>
      </c>
      <c r="P26" s="105">
        <f>(('3-Statement Model'!L128+'3-Statement Model'!M128)/2)/(('3-Statement Model'!M32/'3-Statement Model'!M107))</f>
        <v>62.937807607131269</v>
      </c>
      <c r="Q26" s="105">
        <f>(('3-Statement Model'!M128+'3-Statement Model'!N128)/2)/(('3-Statement Model'!N32/'3-Statement Model'!N107))</f>
        <v>63.107437152304868</v>
      </c>
      <c r="R26" s="105">
        <f>(('3-Statement Model'!N128+'3-Statement Model'!O128)/2)/(('3-Statement Model'!O32/'3-Statement Model'!O107))</f>
        <v>63.265590781980222</v>
      </c>
      <c r="S26" s="105">
        <f>(('3-Statement Model'!O128+'3-Statement Model'!P128)/2)/(('3-Statement Model'!P32/'3-Statement Model'!P107))</f>
        <v>63.425485622003066</v>
      </c>
      <c r="T26" s="105">
        <f>(('3-Statement Model'!P128+'3-Statement Model'!Q128)/2)/(('3-Statement Model'!Q32/'3-Statement Model'!Q107))</f>
        <v>63.587131791685216</v>
      </c>
      <c r="U26" s="105">
        <f>(('3-Statement Model'!Q128+'3-Statement Model'!R128)/2)/(('3-Statement Model'!R32/'3-Statement Model'!R107))</f>
        <v>63.750538881879109</v>
      </c>
      <c r="V26" s="105">
        <f>(('3-Statement Model'!R128+'3-Statement Model'!S128)/2)/(('3-Statement Model'!S32/'3-Statement Model'!S107))</f>
        <v>63.915715940371371</v>
      </c>
    </row>
    <row r="27" spans="2:22">
      <c r="B27" s="3" t="s">
        <v>422</v>
      </c>
      <c r="I27" s="105">
        <f t="shared" ref="I27:K27" si="17">I24+I25-I26</f>
        <v>67.060467941687648</v>
      </c>
      <c r="J27" s="105">
        <f t="shared" si="17"/>
        <v>66.580630974588729</v>
      </c>
      <c r="K27" s="105">
        <f t="shared" si="17"/>
        <v>82.067981806936899</v>
      </c>
      <c r="L27" s="105">
        <f>L24+L25-L26</f>
        <v>87.295501403425902</v>
      </c>
      <c r="M27" s="105">
        <f t="shared" ref="M27:V27" si="18">M24+M25-M26</f>
        <v>99.648844099938827</v>
      </c>
      <c r="N27" s="105">
        <f t="shared" si="18"/>
        <v>97.780987088070688</v>
      </c>
      <c r="O27" s="105">
        <f t="shared" si="18"/>
        <v>89.810045057732992</v>
      </c>
      <c r="P27" s="105">
        <f t="shared" si="18"/>
        <v>85.957367875860342</v>
      </c>
      <c r="Q27" s="105">
        <f t="shared" si="18"/>
        <v>86.18903958117491</v>
      </c>
      <c r="R27" s="105">
        <f t="shared" si="18"/>
        <v>86.405038044479596</v>
      </c>
      <c r="S27" s="105">
        <f t="shared" si="18"/>
        <v>86.623414567397106</v>
      </c>
      <c r="T27" s="105">
        <f t="shared" si="18"/>
        <v>86.844182970386697</v>
      </c>
      <c r="U27" s="105">
        <f t="shared" si="18"/>
        <v>87.06735635216377</v>
      </c>
      <c r="V27" s="105">
        <f t="shared" si="18"/>
        <v>87.292947069751165</v>
      </c>
    </row>
    <row r="28" spans="2:22">
      <c r="B28" s="3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</row>
    <row r="31" spans="2:22">
      <c r="B31" t="s">
        <v>179</v>
      </c>
      <c r="C31" s="110">
        <v>2021</v>
      </c>
      <c r="D31" s="110">
        <v>2022</v>
      </c>
      <c r="E31" s="110">
        <v>2023</v>
      </c>
      <c r="F31" s="110">
        <v>2024</v>
      </c>
      <c r="G31" s="111">
        <v>2025</v>
      </c>
      <c r="H31" s="111">
        <v>2026</v>
      </c>
      <c r="I31" s="111">
        <v>2027</v>
      </c>
      <c r="J31" s="111">
        <v>2028</v>
      </c>
      <c r="K31" s="111">
        <v>2029</v>
      </c>
    </row>
    <row r="33" spans="2:16">
      <c r="B33" s="3" t="s">
        <v>2</v>
      </c>
      <c r="C33" s="30">
        <f>'3-Statement Model'!F24</f>
        <v>9252.3000000000011</v>
      </c>
      <c r="D33" s="30">
        <f>'3-Statement Model'!G24</f>
        <v>10491.800000000001</v>
      </c>
      <c r="E33" s="30">
        <f>'3-Statement Model'!H24</f>
        <v>11238.6</v>
      </c>
      <c r="F33" s="30">
        <f>'3-Statement Model'!I24</f>
        <v>11763.099999999999</v>
      </c>
      <c r="G33" s="30">
        <f>'3-Statement Model'!J24</f>
        <v>11315.207727181467</v>
      </c>
      <c r="H33" s="30">
        <f>'3-Statement Model'!K24</f>
        <v>11911.479432572989</v>
      </c>
      <c r="I33" s="30">
        <f>'3-Statement Model'!L24</f>
        <v>12706.363054759859</v>
      </c>
      <c r="J33" s="30">
        <f>'3-Statement Model'!M24</f>
        <v>13481.256793571414</v>
      </c>
      <c r="K33" s="30">
        <f>'3-Statement Model'!N24</f>
        <v>14224.394215829911</v>
      </c>
      <c r="L33" s="30">
        <f>'3-Statement Model'!O24</f>
        <v>14931.593253551375</v>
      </c>
      <c r="M33" s="30">
        <f>'3-Statement Model'!P24</f>
        <v>15593.173921409709</v>
      </c>
    </row>
    <row r="35" spans="2:16">
      <c r="B35" t="s">
        <v>26</v>
      </c>
      <c r="C35" s="30">
        <f>'3-Statement Model'!F72</f>
        <v>1371.400000000001</v>
      </c>
      <c r="D35" s="30">
        <f>'3-Statement Model'!G72</f>
        <v>1579.7000000000012</v>
      </c>
      <c r="E35" s="30">
        <f>'3-Statement Model'!H72</f>
        <v>1549.1000000000004</v>
      </c>
      <c r="F35" s="30">
        <f>'3-Statement Model'!I72</f>
        <v>1713.8999999999983</v>
      </c>
      <c r="G35" s="30">
        <f>'3-Statement Model'!J72</f>
        <v>1573.9792649623953</v>
      </c>
      <c r="H35" s="30">
        <f>'3-Statement Model'!K72</f>
        <v>1777.3452978100063</v>
      </c>
      <c r="I35" s="30">
        <f>'3-Statement Model'!L72</f>
        <v>1984.1988011537735</v>
      </c>
      <c r="J35" s="30">
        <f>'3-Statement Model'!M72</f>
        <v>2176.5186509373907</v>
      </c>
      <c r="K35" s="30">
        <f>'3-Statement Model'!N72</f>
        <v>2368.5591726166485</v>
      </c>
      <c r="L35" s="30">
        <f>'3-Statement Model'!O72</f>
        <v>2473.9156981660631</v>
      </c>
      <c r="M35" s="30">
        <f>'3-Statement Model'!P72</f>
        <v>2591.702831900287</v>
      </c>
    </row>
    <row r="37" spans="2:16">
      <c r="B37" t="s">
        <v>34</v>
      </c>
      <c r="C37" s="30">
        <f>C38*C35</f>
        <v>299.27709030100334</v>
      </c>
      <c r="D37" s="30">
        <f t="shared" ref="D37:K37" si="19">D38*D35</f>
        <v>353.96161393672401</v>
      </c>
      <c r="E37" s="30">
        <f t="shared" si="19"/>
        <v>317.377716252619</v>
      </c>
      <c r="F37" s="30">
        <f t="shared" si="19"/>
        <v>345.85032629558549</v>
      </c>
      <c r="G37" s="30">
        <f t="shared" si="19"/>
        <v>317.61552154135643</v>
      </c>
      <c r="H37" s="30">
        <f t="shared" si="19"/>
        <v>358.65304346082962</v>
      </c>
      <c r="I37" s="30">
        <f t="shared" si="19"/>
        <v>400.39430702744784</v>
      </c>
      <c r="J37" s="30">
        <f t="shared" si="19"/>
        <v>439.20280390636844</v>
      </c>
      <c r="K37" s="30">
        <f t="shared" si="19"/>
        <v>477.95493476858087</v>
      </c>
      <c r="L37" s="30">
        <f t="shared" ref="L37:M37" si="20">L38*L35</f>
        <v>499.21497837592915</v>
      </c>
      <c r="M37" s="30">
        <f t="shared" si="20"/>
        <v>522.98341214417883</v>
      </c>
    </row>
    <row r="38" spans="2:16">
      <c r="B38" t="s">
        <v>35</v>
      </c>
      <c r="C38" s="94">
        <f>'3-Statement Model'!F96</f>
        <v>0.21822742474916373</v>
      </c>
      <c r="D38" s="94">
        <f>'3-Statement Model'!G96</f>
        <v>0.22406888265919084</v>
      </c>
      <c r="E38" s="94">
        <f>'3-Statement Model'!H96</f>
        <v>0.20487877880873986</v>
      </c>
      <c r="F38" s="94">
        <f>'3-Statement Model'!I96</f>
        <v>0.20179142674344236</v>
      </c>
      <c r="G38" s="94">
        <f>'3-Statement Model'!J96</f>
        <v>0.20179142674344236</v>
      </c>
      <c r="H38" s="94">
        <f>'3-Statement Model'!K96</f>
        <v>0.20179142674344236</v>
      </c>
      <c r="I38" s="94">
        <f>'3-Statement Model'!L96</f>
        <v>0.20179142674344236</v>
      </c>
      <c r="J38" s="94">
        <f>'3-Statement Model'!M96</f>
        <v>0.20179142674344236</v>
      </c>
      <c r="K38" s="94">
        <f>'3-Statement Model'!N96</f>
        <v>0.20179142674344236</v>
      </c>
      <c r="L38" s="94">
        <f>'3-Statement Model'!O96</f>
        <v>0.20179142674344236</v>
      </c>
      <c r="M38" s="94">
        <f>'3-Statement Model'!P96</f>
        <v>0.20179142674344236</v>
      </c>
    </row>
    <row r="40" spans="2:16">
      <c r="B40" s="3" t="s">
        <v>176</v>
      </c>
      <c r="C40" s="30">
        <f>C35-C37</f>
        <v>1072.1229096989978</v>
      </c>
      <c r="D40" s="30">
        <f t="shared" ref="D40:K40" si="21">D35-D37</f>
        <v>1225.7383860632772</v>
      </c>
      <c r="E40" s="30">
        <f t="shared" si="21"/>
        <v>1231.7222837473814</v>
      </c>
      <c r="F40" s="30">
        <f t="shared" si="21"/>
        <v>1368.0496737044127</v>
      </c>
      <c r="G40" s="30">
        <f t="shared" si="21"/>
        <v>1256.3637434210389</v>
      </c>
      <c r="H40" s="30">
        <f t="shared" si="21"/>
        <v>1418.6922543491767</v>
      </c>
      <c r="I40" s="30">
        <f t="shared" si="21"/>
        <v>1583.8044941263256</v>
      </c>
      <c r="J40" s="30">
        <f t="shared" si="21"/>
        <v>1737.3158470310223</v>
      </c>
      <c r="K40" s="30">
        <f t="shared" si="21"/>
        <v>1890.6042378480677</v>
      </c>
      <c r="L40" s="30">
        <f t="shared" ref="L40:M40" si="22">L35-L37</f>
        <v>1974.7007197901339</v>
      </c>
      <c r="M40" s="30">
        <f t="shared" si="22"/>
        <v>2068.7194197561084</v>
      </c>
      <c r="O40" s="3"/>
    </row>
    <row r="41" spans="2:16">
      <c r="O41" s="7"/>
    </row>
    <row r="42" spans="2:16">
      <c r="B42" t="s">
        <v>175</v>
      </c>
      <c r="C42" s="30">
        <f>'3-Statement Model'!F66</f>
        <v>366.6</v>
      </c>
      <c r="D42" s="30">
        <f>'3-Statement Model'!G66</f>
        <v>384.5</v>
      </c>
      <c r="E42" s="30">
        <f>'3-Statement Model'!H66</f>
        <v>485.3</v>
      </c>
      <c r="F42" s="30">
        <f>'3-Statement Model'!I66</f>
        <v>555.6</v>
      </c>
      <c r="G42" s="153">
        <f>'3-Statement Model'!J66</f>
        <v>598.54061865644621</v>
      </c>
      <c r="H42" s="30">
        <f>'3-Statement Model'!K66</f>
        <v>640.68502700231011</v>
      </c>
      <c r="I42" s="30">
        <f>'3-Statement Model'!L66</f>
        <v>684.13744034579736</v>
      </c>
      <c r="J42" s="30">
        <f>'3-Statement Model'!M66</f>
        <v>694.98904609332044</v>
      </c>
      <c r="K42" s="30">
        <f>'3-Statement Model'!N66</f>
        <v>661.23679535512224</v>
      </c>
      <c r="L42" s="30">
        <f>'3-Statement Model'!O66</f>
        <v>706.51366484037908</v>
      </c>
      <c r="M42" s="30">
        <f>'3-Statement Model'!P66</f>
        <v>729.64321335998159</v>
      </c>
    </row>
    <row r="43" spans="2:16">
      <c r="B43" t="s">
        <v>60</v>
      </c>
      <c r="C43" s="30">
        <f>'3-Statement Model'!F132-'3-Statement Model'!E132</f>
        <v>-0.80000000000000071</v>
      </c>
      <c r="D43" s="30">
        <f>'3-Statement Model'!G132-'3-Statement Model'!F132</f>
        <v>0.89999999999999858</v>
      </c>
      <c r="E43" s="30">
        <f>'3-Statement Model'!H132-'3-Statement Model'!G132</f>
        <v>19.399999999999999</v>
      </c>
      <c r="F43" s="30">
        <f>'3-Statement Model'!I132-'3-Statement Model'!H132</f>
        <v>-2.1999999999999957</v>
      </c>
      <c r="G43" s="153">
        <f>'3-Statement Model'!J132-'3-Statement Model'!I132</f>
        <v>-0.62103703372390129</v>
      </c>
      <c r="H43" s="30">
        <f>'3-Statement Model'!K132-'3-Statement Model'!J132</f>
        <v>2.2911886393635044</v>
      </c>
      <c r="I43" s="30">
        <f>'3-Statement Model'!L132-'3-Statement Model'!K132</f>
        <v>3.0543597965541807</v>
      </c>
      <c r="J43" s="30">
        <f>'3-Statement Model'!M132-'3-Statement Model'!L132</f>
        <v>2.9775481798405465</v>
      </c>
      <c r="K43" s="30">
        <f>'3-Statement Model'!N132-'3-Statement Model'!M132</f>
        <v>2.8555237553097399</v>
      </c>
      <c r="L43" s="30">
        <f>'3-Statement Model'!O132-'3-Statement Model'!N132</f>
        <v>2.7174296320706475</v>
      </c>
      <c r="M43" s="30">
        <f>'3-Statement Model'!P132-'3-Statement Model'!O132</f>
        <v>2.5421399280118919</v>
      </c>
      <c r="N43" s="29"/>
    </row>
    <row r="44" spans="2:16">
      <c r="B44" s="29" t="s">
        <v>43</v>
      </c>
      <c r="C44" s="30">
        <f>'3-Statement Model'!E112-'3-Statement Model'!F112</f>
        <v>-215</v>
      </c>
      <c r="D44" s="30">
        <f>'3-Statement Model'!F112-'3-Statement Model'!G112</f>
        <v>-142.79999999999995</v>
      </c>
      <c r="E44" s="30">
        <f>'3-Statement Model'!G112-'3-Statement Model'!H112</f>
        <v>-289.60000000000014</v>
      </c>
      <c r="F44" s="30">
        <f>'3-Statement Model'!H112-'3-Statement Model'!I112</f>
        <v>-165.79999999999995</v>
      </c>
      <c r="G44" s="153">
        <f>'3-Statement Model'!I112-'3-Statement Model'!J112</f>
        <v>35.96073102596938</v>
      </c>
      <c r="H44" s="30">
        <f>'3-Statement Model'!J112-'3-Statement Model'!K112</f>
        <v>-47.451476183202885</v>
      </c>
      <c r="I44" s="30">
        <f>'3-Statement Model'!K112-'3-Statement Model'!L112</f>
        <v>-73.371208482802103</v>
      </c>
      <c r="J44" s="30">
        <f>'3-Statement Model'!L112-'3-Statement Model'!M112</f>
        <v>-137.8170032531948</v>
      </c>
      <c r="K44" s="30">
        <f>'3-Statement Model'!M112-'3-Statement Model'!N112</f>
        <v>-132.16905416998907</v>
      </c>
      <c r="L44" s="30">
        <f>'3-Statement Model'!N112-'3-Statement Model'!O112</f>
        <v>-125.77731268263233</v>
      </c>
      <c r="M44" s="30">
        <f>'3-Statement Model'!O112-'3-Statement Model'!P112</f>
        <v>-117.66395892463925</v>
      </c>
      <c r="N44" s="29"/>
      <c r="O44" s="29"/>
    </row>
    <row r="45" spans="2:16">
      <c r="B45" s="29" t="s">
        <v>44</v>
      </c>
      <c r="C45" s="30">
        <f>'3-Statement Model'!E113-'3-Statement Model'!F113</f>
        <v>-344.29999999999995</v>
      </c>
      <c r="D45" s="30">
        <f>'3-Statement Model'!F113-'3-Statement Model'!G113</f>
        <v>-54.5</v>
      </c>
      <c r="E45" s="30">
        <f>'3-Statement Model'!G113-'3-Statement Model'!H113</f>
        <v>-27.900000000000091</v>
      </c>
      <c r="F45" s="30">
        <f>'3-Statement Model'!H113-'3-Statement Model'!I113</f>
        <v>-108.20000000000005</v>
      </c>
      <c r="G45" s="153">
        <f>'3-Statement Model'!I113-'3-Statement Model'!J113</f>
        <v>-46.12561020045473</v>
      </c>
      <c r="H45" s="30">
        <f>'3-Statement Model'!J113-'3-Statement Model'!K113</f>
        <v>-8.6021970765386868E-2</v>
      </c>
      <c r="I45" s="30">
        <f>'3-Statement Model'!K113-'3-Statement Model'!L113</f>
        <v>10.531299376550351</v>
      </c>
      <c r="J45" s="30">
        <f>'3-Statement Model'!L113-'3-Statement Model'!M113</f>
        <v>-84.43821620241647</v>
      </c>
      <c r="K45" s="30">
        <f>'3-Statement Model'!M113-'3-Statement Model'!N113</f>
        <v>-80.97781048664433</v>
      </c>
      <c r="L45" s="30">
        <f>'3-Statement Model'!N113-'3-Statement Model'!O113</f>
        <v>-77.061695371095993</v>
      </c>
      <c r="M45" s="30">
        <f>'3-Statement Model'!O113-'3-Statement Model'!P113</f>
        <v>-72.090776670407877</v>
      </c>
      <c r="N45" s="29"/>
      <c r="O45" s="29"/>
    </row>
    <row r="46" spans="2:16">
      <c r="B46" s="29" t="s">
        <v>45</v>
      </c>
      <c r="C46" s="30">
        <f>'3-Statement Model'!E114-'3-Statement Model'!F114</f>
        <v>-69.7</v>
      </c>
      <c r="D46" s="30">
        <f>'3-Statement Model'!F114-'3-Statement Model'!G114</f>
        <v>0.30000000000001137</v>
      </c>
      <c r="E46" s="30">
        <f>'3-Statement Model'!G114-'3-Statement Model'!H114</f>
        <v>-53.700000000000017</v>
      </c>
      <c r="F46" s="30">
        <f>'3-Statement Model'!H114-'3-Statement Model'!I114</f>
        <v>-29.699999999999989</v>
      </c>
      <c r="G46" s="153">
        <f>'3-Statement Model'!I114-'3-Statement Model'!J114</f>
        <v>24.698367893201066</v>
      </c>
      <c r="H46" s="30">
        <f>'3-Statement Model'!J114-'3-Statement Model'!K114</f>
        <v>-13.110972158658626</v>
      </c>
      <c r="I46" s="30">
        <f>'3-Statement Model'!K114-'3-Statement Model'!L114</f>
        <v>-17.478100915458811</v>
      </c>
      <c r="J46" s="30">
        <f>'3-Statement Model'!L114-'3-Statement Model'!M114</f>
        <v>-17.038558334419406</v>
      </c>
      <c r="K46" s="30">
        <f>'3-Statement Model'!M114-'3-Statement Model'!N114</f>
        <v>-16.340292462629805</v>
      </c>
      <c r="L46" s="30">
        <f>'3-Statement Model'!N114-'3-Statement Model'!O114</f>
        <v>-15.550070228652032</v>
      </c>
      <c r="M46" s="30">
        <f>'3-Statement Model'!O114-'3-Statement Model'!P114</f>
        <v>-14.547002043811403</v>
      </c>
      <c r="N46" s="29"/>
      <c r="O46" s="29"/>
    </row>
    <row r="47" spans="2:16">
      <c r="B47" s="29" t="s">
        <v>46</v>
      </c>
      <c r="C47" s="30">
        <f>'3-Statement Model'!E115-'3-Statement Model'!F115</f>
        <v>-11.5</v>
      </c>
      <c r="D47" s="30">
        <f>'3-Statement Model'!F115-'3-Statement Model'!G115</f>
        <v>5.3999999999999986</v>
      </c>
      <c r="E47" s="30">
        <f>'3-Statement Model'!G115-'3-Statement Model'!H115</f>
        <v>-38.299999999999997</v>
      </c>
      <c r="F47" s="30">
        <f>'3-Statement Model'!H115-'3-Statement Model'!I115</f>
        <v>5.3999999999999986</v>
      </c>
      <c r="G47" s="153">
        <f>'3-Statement Model'!I115-'3-Statement Model'!J115</f>
        <v>0</v>
      </c>
      <c r="H47" s="30">
        <f>'3-Statement Model'!J115-'3-Statement Model'!K115</f>
        <v>0</v>
      </c>
      <c r="I47" s="30">
        <f>'3-Statement Model'!K115-'3-Statement Model'!L115</f>
        <v>0</v>
      </c>
      <c r="J47" s="30">
        <f>'3-Statement Model'!L115-'3-Statement Model'!M115</f>
        <v>0</v>
      </c>
      <c r="K47" s="30">
        <f>'3-Statement Model'!M115-'3-Statement Model'!N115</f>
        <v>0</v>
      </c>
      <c r="L47" s="30">
        <f>'3-Statement Model'!N115-'3-Statement Model'!O115</f>
        <v>0</v>
      </c>
      <c r="M47" s="30">
        <f>'3-Statement Model'!O115-'3-Statement Model'!P115</f>
        <v>0</v>
      </c>
      <c r="N47" s="29"/>
      <c r="O47" s="29"/>
      <c r="P47" s="29"/>
    </row>
    <row r="48" spans="2:16">
      <c r="B48" s="29" t="s">
        <v>56</v>
      </c>
      <c r="C48" s="30">
        <f>'3-Statement Model'!F128-'3-Statement Model'!E128</f>
        <v>186.90000000000009</v>
      </c>
      <c r="D48" s="30">
        <f>'3-Statement Model'!G128-'3-Statement Model'!F128</f>
        <v>-16.600000000000023</v>
      </c>
      <c r="E48" s="30">
        <f>'3-Statement Model'!H128-'3-Statement Model'!G128</f>
        <v>91.600000000000023</v>
      </c>
      <c r="F48" s="30">
        <f>'3-Statement Model'!I128-'3-Statement Model'!H128</f>
        <v>104.09999999999991</v>
      </c>
      <c r="G48" s="30">
        <f>'3-Statement Model'!J128-'3-Statement Model'!I128</f>
        <v>-96.279511839635916</v>
      </c>
      <c r="H48" s="30">
        <f>'3-Statement Model'!K128-'3-Statement Model'!J128</f>
        <v>47.06460567353929</v>
      </c>
      <c r="I48" s="30">
        <f>'3-Statement Model'!L128-'3-Statement Model'!K128</f>
        <v>77.615656185416583</v>
      </c>
      <c r="J48" s="30">
        <f>'3-Statement Model'!M128-'3-Statement Model'!L128</f>
        <v>75.663763012707705</v>
      </c>
      <c r="K48" s="30">
        <f>'3-Statement Model'!N128-'3-Statement Model'!M128</f>
        <v>72.562947649929583</v>
      </c>
      <c r="L48" s="30">
        <f>'3-Statement Model'!O128-'3-Statement Model'!N128</f>
        <v>69.053778231629849</v>
      </c>
      <c r="M48" s="30">
        <f>'3-Statement Model'!P128-'3-Statement Model'!O128</f>
        <v>64.59941584170565</v>
      </c>
      <c r="N48" s="29"/>
      <c r="O48" s="29"/>
      <c r="P48" s="29"/>
    </row>
    <row r="49" spans="2:16">
      <c r="B49" s="29" t="s">
        <v>57</v>
      </c>
      <c r="C49" s="30">
        <f>'3-Statement Model'!F129-'3-Statement Model'!E129</f>
        <v>65.899999999999977</v>
      </c>
      <c r="D49" s="30">
        <f>'3-Statement Model'!G129-'3-Statement Model'!F129</f>
        <v>-30.899999999999977</v>
      </c>
      <c r="E49" s="30">
        <f>'3-Statement Model'!H129-'3-Statement Model'!G129</f>
        <v>189.20000000000005</v>
      </c>
      <c r="F49" s="30">
        <f>'3-Statement Model'!I129-'3-Statement Model'!H129</f>
        <v>-54.300000000000068</v>
      </c>
      <c r="G49" s="30">
        <f>'3-Statement Model'!J129-'3-Statement Model'!I129</f>
        <v>2.360593787479047</v>
      </c>
      <c r="H49" s="30">
        <f>'3-Statement Model'!K129-'3-Statement Model'!J129</f>
        <v>33.001733709239147</v>
      </c>
      <c r="I49" s="30">
        <f>'3-Statement Model'!L129-'3-Statement Model'!K129</f>
        <v>43.994268706783146</v>
      </c>
      <c r="J49" s="30">
        <f>'3-Statement Model'!M129-'3-Statement Model'!L129</f>
        <v>42.887892532858132</v>
      </c>
      <c r="K49" s="30">
        <f>'3-Statement Model'!N129-'3-Statement Model'!M129</f>
        <v>41.130281878194864</v>
      </c>
      <c r="L49" s="30">
        <f>'3-Statement Model'!O129-'3-Statement Model'!N129</f>
        <v>39.141207122999845</v>
      </c>
      <c r="M49" s="30">
        <f>'3-Statement Model'!P129-'3-Statement Model'!O129</f>
        <v>36.616376109118164</v>
      </c>
      <c r="O49" s="29"/>
      <c r="P49" s="29"/>
    </row>
    <row r="50" spans="2:16">
      <c r="B50" s="29" t="s">
        <v>59</v>
      </c>
      <c r="C50" s="30">
        <f>'3-Statement Model'!F131-'3-Statement Model'!E131</f>
        <v>7</v>
      </c>
      <c r="D50" s="30">
        <f>'3-Statement Model'!G131-'3-Statement Model'!F131</f>
        <v>35.599999999999994</v>
      </c>
      <c r="E50" s="30">
        <f>'3-Statement Model'!H131-'3-Statement Model'!G131</f>
        <v>159.49999999999997</v>
      </c>
      <c r="F50" s="30">
        <f>'3-Statement Model'!I131-'3-Statement Model'!H131</f>
        <v>2.3000000000000114</v>
      </c>
      <c r="G50" s="30">
        <f>'3-Statement Model'!J131-'3-Statement Model'!I131</f>
        <v>0</v>
      </c>
      <c r="H50" s="30">
        <f>'3-Statement Model'!K131-'3-Statement Model'!J131</f>
        <v>0</v>
      </c>
      <c r="I50" s="30">
        <f>'3-Statement Model'!L131-'3-Statement Model'!K131</f>
        <v>0</v>
      </c>
      <c r="J50" s="30">
        <f>'3-Statement Model'!M131-'3-Statement Model'!L131</f>
        <v>0</v>
      </c>
      <c r="K50" s="30">
        <f>'3-Statement Model'!N131-'3-Statement Model'!M131</f>
        <v>0</v>
      </c>
      <c r="L50" s="30">
        <f>'3-Statement Model'!O131-'3-Statement Model'!N131</f>
        <v>0</v>
      </c>
      <c r="M50" s="30">
        <f>'3-Statement Model'!P131-'3-Statement Model'!O131</f>
        <v>0</v>
      </c>
      <c r="O50" s="29"/>
      <c r="P50" s="29"/>
    </row>
    <row r="51" spans="2:16">
      <c r="P51" s="29"/>
    </row>
    <row r="52" spans="2:16">
      <c r="B52" t="s">
        <v>79</v>
      </c>
      <c r="C52" s="30">
        <f>-Assumptions!F135-Assumptions!F137</f>
        <v>-233</v>
      </c>
      <c r="D52" s="30">
        <f>-Assumptions!G135-Assumptions!G137</f>
        <v>-342.5</v>
      </c>
      <c r="E52" s="30">
        <f>-Assumptions!H135-Assumptions!H137</f>
        <v>-376.8</v>
      </c>
      <c r="F52" s="30">
        <f>-Assumptions!I135-Assumptions!I137</f>
        <v>-465.40000000000003</v>
      </c>
      <c r="G52" s="30">
        <f>-Assumptions!J135-Assumptions!J137</f>
        <v>-498.20841467836948</v>
      </c>
      <c r="H52" s="30">
        <f>-Assumptions!K135-Assumptions!K137</f>
        <v>-522.68374183815627</v>
      </c>
      <c r="I52" s="30">
        <f>-Assumptions!L135-Assumptions!L137</f>
        <v>-555.31154646323989</v>
      </c>
      <c r="J52" s="30">
        <f>-Assumptions!M135-Assumptions!M137</f>
        <v>-587.11882089869209</v>
      </c>
      <c r="K52" s="30">
        <f>-Assumptions!N135-Assumptions!N137</f>
        <v>-576.64831766343764</v>
      </c>
      <c r="L52" s="30">
        <f>-Assumptions!O135-Assumptions!O137</f>
        <v>-597.7342990453667</v>
      </c>
      <c r="M52" s="30">
        <f>-Assumptions!P135-Assumptions!P137</f>
        <v>-565.62111860607047</v>
      </c>
      <c r="P52" s="29"/>
    </row>
    <row r="53" spans="2:16">
      <c r="B53" t="s">
        <v>177</v>
      </c>
      <c r="C53" s="30">
        <f>-Assumptions!F139</f>
        <v>-13.5</v>
      </c>
      <c r="D53" s="30">
        <f>-Assumptions!G139</f>
        <v>-28</v>
      </c>
      <c r="E53" s="30">
        <f>-Assumptions!H139</f>
        <v>-23.1</v>
      </c>
      <c r="F53" s="30">
        <f>-Assumptions!I139</f>
        <v>-27.9</v>
      </c>
      <c r="G53" s="30">
        <f>-Assumptions!J139</f>
        <v>-25.047569614085607</v>
      </c>
      <c r="H53" s="30">
        <f>-Assumptions!K139</f>
        <v>-26.36748855943792</v>
      </c>
      <c r="I53" s="30">
        <f>-Assumptions!L139</f>
        <v>-28.127058807007874</v>
      </c>
      <c r="J53" s="30">
        <f>-Assumptions!M139</f>
        <v>-29.842379049850308</v>
      </c>
      <c r="K53" s="30">
        <f>-Assumptions!N139</f>
        <v>-31.487402876689796</v>
      </c>
      <c r="L53" s="30">
        <f>-Assumptions!O139</f>
        <v>-33.052872778385989</v>
      </c>
      <c r="M53" s="30">
        <f>-Assumptions!P139</f>
        <v>-34.517360946261853</v>
      </c>
    </row>
    <row r="54" spans="2:16">
      <c r="B54" t="s">
        <v>423</v>
      </c>
      <c r="C54" s="30">
        <v>-304.39999999999998</v>
      </c>
      <c r="D54" s="30">
        <v>-142.69999999999999</v>
      </c>
      <c r="E54" s="30">
        <v>-35.5</v>
      </c>
      <c r="F54" s="30">
        <v>-256.89999999999998</v>
      </c>
      <c r="G54" s="30">
        <f>-Assumptions!J146</f>
        <v>-253.78019999999998</v>
      </c>
      <c r="H54" s="30">
        <f>-Assumptions!K146</f>
        <v>-317.03763201694773</v>
      </c>
      <c r="I54" s="30">
        <f>-Assumptions!L146</f>
        <v>-333.74440170902511</v>
      </c>
      <c r="J54" s="30">
        <f>-Assumptions!M146</f>
        <v>-356.01602299811589</v>
      </c>
      <c r="K54" s="30">
        <f>-Assumptions!N146</f>
        <v>-377.72755335097219</v>
      </c>
      <c r="L54" s="30">
        <f>-Assumptions!O146</f>
        <v>-341.38546117991785</v>
      </c>
      <c r="M54" s="30">
        <f>-Assumptions!P146</f>
        <v>-298.63186507102751</v>
      </c>
    </row>
    <row r="56" spans="2:16">
      <c r="B56" s="3" t="s">
        <v>179</v>
      </c>
      <c r="C56" s="30">
        <f t="shared" ref="C56:M56" si="23">C40+SUM(C42:C50)+SUM(C52:C54)</f>
        <v>506.32290969899793</v>
      </c>
      <c r="D56" s="30">
        <f t="shared" si="23"/>
        <v>894.43838606327722</v>
      </c>
      <c r="E56" s="30">
        <f t="shared" si="23"/>
        <v>1331.8222837473811</v>
      </c>
      <c r="F56" s="30">
        <f t="shared" si="23"/>
        <v>925.0496737044125</v>
      </c>
      <c r="G56" s="30">
        <f t="shared" si="23"/>
        <v>997.86171141786485</v>
      </c>
      <c r="H56" s="30">
        <f t="shared" si="23"/>
        <v>1214.9974766464602</v>
      </c>
      <c r="I56" s="30">
        <f t="shared" si="23"/>
        <v>1395.1052021598932</v>
      </c>
      <c r="J56" s="30">
        <f t="shared" si="23"/>
        <v>1341.5630961130603</v>
      </c>
      <c r="K56" s="30">
        <f t="shared" si="23"/>
        <v>1453.0393554762613</v>
      </c>
      <c r="L56" s="30">
        <f t="shared" si="23"/>
        <v>1601.5650883311625</v>
      </c>
      <c r="M56" s="30">
        <f t="shared" si="23"/>
        <v>1799.0484827327073</v>
      </c>
    </row>
    <row r="57" spans="2:16">
      <c r="B57" s="3" t="s">
        <v>424</v>
      </c>
      <c r="C57" s="30">
        <f t="shared" ref="C57:M57" si="24">C56-C54</f>
        <v>810.72290969899791</v>
      </c>
      <c r="D57" s="30">
        <f t="shared" si="24"/>
        <v>1037.1383860632773</v>
      </c>
      <c r="E57" s="30">
        <f t="shared" si="24"/>
        <v>1367.3222837473811</v>
      </c>
      <c r="F57" s="30">
        <f t="shared" si="24"/>
        <v>1181.9496737044124</v>
      </c>
      <c r="G57" s="30">
        <f t="shared" si="24"/>
        <v>1251.6419114178648</v>
      </c>
      <c r="H57" s="30">
        <f t="shared" si="24"/>
        <v>1532.035108663408</v>
      </c>
      <c r="I57" s="30">
        <f t="shared" si="24"/>
        <v>1728.8496038689184</v>
      </c>
      <c r="J57" s="30">
        <f t="shared" si="24"/>
        <v>1697.5791191111762</v>
      </c>
      <c r="K57" s="30">
        <f t="shared" si="24"/>
        <v>1830.7669088272335</v>
      </c>
      <c r="L57" s="30">
        <f t="shared" si="24"/>
        <v>1942.9505495110805</v>
      </c>
      <c r="M57" s="30">
        <f t="shared" si="24"/>
        <v>2097.6803478037345</v>
      </c>
    </row>
    <row r="59" spans="2:16">
      <c r="B59" t="s">
        <v>425</v>
      </c>
      <c r="C59" s="94">
        <f t="shared" ref="C59:M59" si="25">C56/C33</f>
        <v>5.4724004809506593E-2</v>
      </c>
      <c r="D59" s="94">
        <f t="shared" si="25"/>
        <v>8.5251185312651509E-2</v>
      </c>
      <c r="E59" s="94">
        <f t="shared" si="25"/>
        <v>0.11850428734427607</v>
      </c>
      <c r="F59" s="94">
        <f t="shared" si="25"/>
        <v>7.8639956618953566E-2</v>
      </c>
      <c r="G59" s="94">
        <f t="shared" si="25"/>
        <v>8.8187661727216454E-2</v>
      </c>
      <c r="H59" s="94">
        <f t="shared" si="25"/>
        <v>0.10200223100112507</v>
      </c>
      <c r="I59" s="94">
        <f t="shared" si="25"/>
        <v>0.10979579256058489</v>
      </c>
      <c r="J59" s="94">
        <f t="shared" si="25"/>
        <v>9.951320686605343E-2</v>
      </c>
      <c r="K59" s="94">
        <f t="shared" si="25"/>
        <v>0.10215122931978478</v>
      </c>
      <c r="L59" s="94">
        <f t="shared" si="25"/>
        <v>0.10726016046212895</v>
      </c>
      <c r="M59" s="94">
        <f t="shared" si="25"/>
        <v>0.11537410483587189</v>
      </c>
    </row>
    <row r="60" spans="2:16">
      <c r="B60" t="s">
        <v>426</v>
      </c>
      <c r="C60" s="94">
        <f t="shared" ref="C60:M60" si="26">C56/(C35+C42)</f>
        <v>0.29132503434925067</v>
      </c>
      <c r="D60" s="94">
        <f t="shared" si="26"/>
        <v>0.45537032179170994</v>
      </c>
      <c r="E60" s="94">
        <f t="shared" si="26"/>
        <v>0.65465114222737952</v>
      </c>
      <c r="F60" s="94">
        <f t="shared" si="26"/>
        <v>0.40760064935202167</v>
      </c>
      <c r="G60" s="94">
        <f t="shared" si="26"/>
        <v>0.45931073816258572</v>
      </c>
      <c r="H60" s="94">
        <f t="shared" si="26"/>
        <v>0.50247404434051768</v>
      </c>
      <c r="I60" s="94">
        <f t="shared" si="26"/>
        <v>0.52283710743135647</v>
      </c>
      <c r="J60" s="94">
        <f t="shared" si="26"/>
        <v>0.46719815430072037</v>
      </c>
      <c r="K60" s="94">
        <f t="shared" si="26"/>
        <v>0.4795832362431211</v>
      </c>
      <c r="L60" s="94">
        <f t="shared" si="26"/>
        <v>0.50356882846069939</v>
      </c>
      <c r="M60" s="94">
        <f t="shared" si="26"/>
        <v>0.54166246401817775</v>
      </c>
    </row>
    <row r="62" spans="2:16">
      <c r="B62" t="s">
        <v>425</v>
      </c>
      <c r="C62" s="20">
        <f t="shared" ref="C62:M62" si="27">C57/C33</f>
        <v>8.7623932395079901E-2</v>
      </c>
      <c r="D62" s="20">
        <f t="shared" si="27"/>
        <v>9.8852283312994643E-2</v>
      </c>
      <c r="E62" s="20">
        <f t="shared" si="27"/>
        <v>0.12166304377301275</v>
      </c>
      <c r="F62" s="20">
        <f t="shared" si="27"/>
        <v>0.10047943770812222</v>
      </c>
      <c r="G62" s="20">
        <f t="shared" si="27"/>
        <v>0.11061590220842012</v>
      </c>
      <c r="H62" s="20">
        <f t="shared" si="27"/>
        <v>0.1286183733377336</v>
      </c>
      <c r="I62" s="20">
        <f t="shared" si="27"/>
        <v>0.13606171934629901</v>
      </c>
      <c r="J62" s="20">
        <f t="shared" si="27"/>
        <v>0.12592142892201807</v>
      </c>
      <c r="K62" s="20">
        <f t="shared" si="27"/>
        <v>0.1287061424935641</v>
      </c>
      <c r="L62" s="20">
        <f t="shared" si="27"/>
        <v>0.13012345812788353</v>
      </c>
      <c r="M62" s="20">
        <f t="shared" si="27"/>
        <v>0.13452555319245055</v>
      </c>
      <c r="O62" s="3"/>
    </row>
    <row r="63" spans="2:16">
      <c r="B63" t="s">
        <v>426</v>
      </c>
      <c r="C63" s="20">
        <f t="shared" ref="C63:M63" si="28">C57/(C35+C42)</f>
        <v>0.46646887784752444</v>
      </c>
      <c r="D63" s="20">
        <f t="shared" si="28"/>
        <v>0.5280207647201286</v>
      </c>
      <c r="E63" s="20">
        <f t="shared" si="28"/>
        <v>0.67210100459466227</v>
      </c>
      <c r="F63" s="20">
        <f t="shared" si="28"/>
        <v>0.52079738872192705</v>
      </c>
      <c r="G63" s="20">
        <f t="shared" si="28"/>
        <v>0.57612449066885485</v>
      </c>
      <c r="H63" s="20">
        <f t="shared" si="28"/>
        <v>0.63358804599868779</v>
      </c>
      <c r="I63" s="20">
        <f t="shared" si="28"/>
        <v>0.6479129492680904</v>
      </c>
      <c r="J63" s="20">
        <f t="shared" si="28"/>
        <v>0.59118041747426331</v>
      </c>
      <c r="K63" s="20">
        <f t="shared" si="28"/>
        <v>0.60425419011062964</v>
      </c>
      <c r="L63" s="20">
        <f t="shared" si="28"/>
        <v>0.61090825412151906</v>
      </c>
      <c r="M63" s="20">
        <f t="shared" si="28"/>
        <v>0.63157536710070672</v>
      </c>
    </row>
    <row r="65" spans="2:18">
      <c r="B65" t="s">
        <v>427</v>
      </c>
      <c r="D65" s="30">
        <v>1318.7</v>
      </c>
      <c r="E65" s="30">
        <v>1175</v>
      </c>
      <c r="F65" s="30">
        <v>1873.3</v>
      </c>
      <c r="G65" s="30">
        <v>643.9</v>
      </c>
      <c r="H65" s="30">
        <v>707.5</v>
      </c>
      <c r="I65" s="30">
        <v>987.49964125922247</v>
      </c>
      <c r="J65" s="30">
        <v>1325.8384530704029</v>
      </c>
      <c r="K65" s="30">
        <v>1676.2598848662672</v>
      </c>
      <c r="L65" s="30">
        <v>2041.8152998988699</v>
      </c>
      <c r="M65" s="30">
        <v>2394.1568124190107</v>
      </c>
      <c r="N65" s="30">
        <v>2802.8129154660483</v>
      </c>
      <c r="O65" s="30">
        <v>3306.5492467427894</v>
      </c>
      <c r="P65" s="30">
        <v>3942.1665419267811</v>
      </c>
      <c r="Q65" s="30">
        <v>4718.635871617148</v>
      </c>
      <c r="R65" s="30">
        <v>5430.6121015805402</v>
      </c>
    </row>
    <row r="66" spans="2:18">
      <c r="B66" t="s">
        <v>428</v>
      </c>
      <c r="D66" s="30">
        <v>334.7</v>
      </c>
      <c r="E66" s="30">
        <v>334.9</v>
      </c>
      <c r="F66" s="30">
        <v>303</v>
      </c>
      <c r="G66" s="30">
        <v>1217.9000000000001</v>
      </c>
      <c r="H66" s="30">
        <v>337.4</v>
      </c>
      <c r="I66" s="30">
        <v>337.4</v>
      </c>
      <c r="J66" s="30">
        <v>337.4</v>
      </c>
      <c r="K66" s="30">
        <v>337.4</v>
      </c>
      <c r="L66" s="30">
        <v>337.4</v>
      </c>
      <c r="M66" s="30">
        <v>337.4</v>
      </c>
      <c r="N66" s="30">
        <v>337.4</v>
      </c>
      <c r="O66" s="30">
        <v>337.4</v>
      </c>
      <c r="P66" s="30">
        <v>337.4</v>
      </c>
      <c r="Q66" s="30">
        <v>337.4</v>
      </c>
      <c r="R66" s="30">
        <v>337.4</v>
      </c>
    </row>
    <row r="67" spans="2:18">
      <c r="B67" t="s">
        <v>429</v>
      </c>
      <c r="D67" s="30">
        <v>3851.9</v>
      </c>
      <c r="E67" s="30">
        <v>3393.9</v>
      </c>
      <c r="F67" s="30">
        <v>3634.2</v>
      </c>
      <c r="G67" s="30">
        <v>4732</v>
      </c>
      <c r="H67" s="30">
        <v>5424.8</v>
      </c>
      <c r="I67" s="30">
        <v>5350.3754256058564</v>
      </c>
      <c r="J67" s="30">
        <v>5221.5052229984885</v>
      </c>
      <c r="K67" s="30">
        <v>5037.8096232111457</v>
      </c>
      <c r="L67" s="30">
        <v>5037.8096232111457</v>
      </c>
      <c r="M67" s="30">
        <v>5037.8096232111457</v>
      </c>
      <c r="N67" s="30">
        <v>5037.8096232111457</v>
      </c>
      <c r="O67" s="30">
        <v>5037.8096232111457</v>
      </c>
      <c r="P67" s="30">
        <v>5037.8096232111457</v>
      </c>
      <c r="Q67" s="30">
        <v>5037.8096232111457</v>
      </c>
      <c r="R67" s="30">
        <v>5037.8096232111457</v>
      </c>
    </row>
    <row r="68" spans="2:18">
      <c r="B68" t="s">
        <v>430</v>
      </c>
      <c r="D68" s="30">
        <v>319.5</v>
      </c>
      <c r="E68" s="30">
        <v>322.89999999999998</v>
      </c>
      <c r="F68" s="30">
        <v>239.9</v>
      </c>
      <c r="G68" s="30">
        <v>328.6</v>
      </c>
      <c r="H68" s="30">
        <v>357.2</v>
      </c>
      <c r="I68" s="30">
        <v>357.2</v>
      </c>
      <c r="J68" s="30">
        <v>357.2</v>
      </c>
      <c r="K68" s="30">
        <v>357.2</v>
      </c>
      <c r="L68" s="30">
        <v>357.2</v>
      </c>
      <c r="M68" s="30">
        <v>357.2</v>
      </c>
      <c r="N68" s="30">
        <v>357.2</v>
      </c>
      <c r="O68" s="30">
        <v>357.2</v>
      </c>
      <c r="P68" s="30">
        <v>357.2</v>
      </c>
      <c r="Q68" s="30">
        <v>357.2</v>
      </c>
      <c r="R68" s="30">
        <v>357.2</v>
      </c>
    </row>
    <row r="69" spans="2:18">
      <c r="B69" t="s">
        <v>431</v>
      </c>
      <c r="D69" s="30">
        <v>3187.4</v>
      </c>
      <c r="E69" s="30">
        <v>2876.7000000000003</v>
      </c>
      <c r="F69" s="30">
        <v>2303.7999999999997</v>
      </c>
      <c r="G69" s="30">
        <v>5634.6</v>
      </c>
      <c r="H69" s="30">
        <v>5411.9</v>
      </c>
      <c r="I69" s="30">
        <v>5057.4757843466341</v>
      </c>
      <c r="J69" s="30">
        <v>4590.2667699280855</v>
      </c>
      <c r="K69" s="30">
        <v>4056.1497383448782</v>
      </c>
      <c r="L69" s="30">
        <v>3690.5943233122757</v>
      </c>
      <c r="M69" s="30">
        <v>3338.2528107921348</v>
      </c>
      <c r="N69" s="30">
        <v>2929.5967077450973</v>
      </c>
      <c r="O69" s="30">
        <v>2425.8603764683562</v>
      </c>
      <c r="P69" s="30">
        <v>1790.2430812843647</v>
      </c>
      <c r="Q69" s="30">
        <v>1013.7737515939973</v>
      </c>
      <c r="R69" s="30">
        <v>301.7975216306051</v>
      </c>
    </row>
    <row r="70" spans="2:18"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2:18">
      <c r="B71" t="s">
        <v>21</v>
      </c>
      <c r="D71" s="30">
        <v>1497.7000000000007</v>
      </c>
      <c r="E71" s="30">
        <v>1738.0000000000009</v>
      </c>
      <c r="F71" s="30">
        <v>1964.2000000000012</v>
      </c>
      <c r="G71" s="30">
        <v>2044.7000000000003</v>
      </c>
      <c r="H71" s="30">
        <v>2269.4999999999982</v>
      </c>
      <c r="I71" s="30">
        <v>2172.5198836188415</v>
      </c>
      <c r="J71" s="30">
        <v>2418.0303248123164</v>
      </c>
      <c r="K71" s="30">
        <v>2668.3362414995709</v>
      </c>
      <c r="L71" s="30">
        <v>2871.5076970307109</v>
      </c>
      <c r="M71" s="30">
        <v>3029.7959679717706</v>
      </c>
      <c r="N71" s="30">
        <v>3180.4293630064421</v>
      </c>
      <c r="O71" s="30">
        <v>3321.3460452602685</v>
      </c>
      <c r="P71" s="30">
        <v>3450.5287121217589</v>
      </c>
      <c r="Q71" s="30">
        <v>3566.0512865387773</v>
      </c>
      <c r="R71" s="30">
        <v>3666.1257032266094</v>
      </c>
    </row>
    <row r="73" spans="2:18">
      <c r="B73" t="s">
        <v>345</v>
      </c>
      <c r="D73" s="105">
        <v>2.1281965680710413</v>
      </c>
      <c r="E73" s="105">
        <v>1.6551783659378589</v>
      </c>
      <c r="F73" s="105">
        <v>1.1728948172283873</v>
      </c>
      <c r="G73" s="105">
        <v>2.7557098840905754</v>
      </c>
      <c r="H73" s="105">
        <v>2.3846221634721321</v>
      </c>
      <c r="I73" s="105">
        <v>2.3279307234335742</v>
      </c>
      <c r="J73" s="105">
        <v>1.8983495462507793</v>
      </c>
      <c r="K73" s="105">
        <v>1.5201044288426611</v>
      </c>
      <c r="L73" s="105">
        <v>1.2852461886585027</v>
      </c>
      <c r="M73" s="105">
        <v>1.1018077936867987</v>
      </c>
      <c r="N73" s="105">
        <v>0.92113245520276732</v>
      </c>
      <c r="O73" s="105">
        <v>0.73038471252647208</v>
      </c>
      <c r="P73" s="105">
        <v>0.518831527178781</v>
      </c>
      <c r="Q73" s="105">
        <v>0.28428468076744062</v>
      </c>
      <c r="R73" s="105">
        <v>8.2320560193827733E-2</v>
      </c>
    </row>
    <row r="75" spans="2:18">
      <c r="B75" t="s">
        <v>432</v>
      </c>
      <c r="E75" s="30">
        <v>170.8</v>
      </c>
      <c r="F75" s="30">
        <v>266</v>
      </c>
      <c r="G75" s="30">
        <v>279.90000000000003</v>
      </c>
      <c r="H75" s="30">
        <v>359</v>
      </c>
      <c r="I75" s="30">
        <v>398.25380142952957</v>
      </c>
      <c r="J75" s="30">
        <v>417.46187153662754</v>
      </c>
    </row>
    <row r="76" spans="2:18">
      <c r="B76" t="s">
        <v>433</v>
      </c>
      <c r="E76" s="30">
        <v>1751.7</v>
      </c>
      <c r="F76" s="30">
        <v>1957.6</v>
      </c>
      <c r="G76" s="30">
        <v>2158.8000000000002</v>
      </c>
      <c r="H76" s="30">
        <v>2279</v>
      </c>
      <c r="I76" s="30">
        <v>2262.5198836188415</v>
      </c>
      <c r="J76" s="30">
        <v>2418.0303248123164</v>
      </c>
    </row>
    <row r="77" spans="2:18">
      <c r="B77" t="s">
        <v>434</v>
      </c>
      <c r="E77" s="85">
        <v>9.7505280584574985E-2</v>
      </c>
      <c r="F77" s="85">
        <v>0.13588067020841849</v>
      </c>
      <c r="G77" s="85">
        <v>0.12965536409116177</v>
      </c>
      <c r="H77" s="85">
        <v>0.15752523036419483</v>
      </c>
      <c r="I77" s="85">
        <v>0.17602223269416445</v>
      </c>
      <c r="J77" s="85">
        <v>0.17264542435754202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B6CE616B07F3419C177A47345C2EE5" ma:contentTypeVersion="3" ma:contentTypeDescription="Create a new document." ma:contentTypeScope="" ma:versionID="4289b092f9c469beaf5912ab427fe603">
  <xsd:schema xmlns:xsd="http://www.w3.org/2001/XMLSchema" xmlns:xs="http://www.w3.org/2001/XMLSchema" xmlns:p="http://schemas.microsoft.com/office/2006/metadata/properties" xmlns:ns2="b3454ba6-c9e6-4746-9feb-3f2fbdf6a993" targetNamespace="http://schemas.microsoft.com/office/2006/metadata/properties" ma:root="true" ma:fieldsID="505bcd4f182ca7a695b69a792188cba8" ns2:_="">
    <xsd:import namespace="b3454ba6-c9e6-4746-9feb-3f2fbdf6a9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54ba6-c9e6-4746-9feb-3f2fbdf6a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AE3334-8583-45D5-8913-DB910DBD1F34}"/>
</file>

<file path=customXml/itemProps2.xml><?xml version="1.0" encoding="utf-8"?>
<ds:datastoreItem xmlns:ds="http://schemas.openxmlformats.org/officeDocument/2006/customXml" ds:itemID="{07AA3B58-680E-450A-8B77-B97D09B69C17}"/>
</file>

<file path=customXml/itemProps3.xml><?xml version="1.0" encoding="utf-8"?>
<ds:datastoreItem xmlns:ds="http://schemas.openxmlformats.org/officeDocument/2006/customXml" ds:itemID="{5719F7B7-7800-4070-A950-1CFE7F8B8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Bekhuis</dc:creator>
  <cp:keywords/>
  <dc:description/>
  <cp:lastModifiedBy>Tom Lucas Bekhuis</cp:lastModifiedBy>
  <cp:revision/>
  <dcterms:created xsi:type="dcterms:W3CDTF">2025-10-02T18:17:04Z</dcterms:created>
  <dcterms:modified xsi:type="dcterms:W3CDTF">2025-11-27T22:10:00Z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0x0101005FB6CE616B07F3419C177A47345C2EE5</vt:lpwstr>
  </property>
</Properties>
</file>